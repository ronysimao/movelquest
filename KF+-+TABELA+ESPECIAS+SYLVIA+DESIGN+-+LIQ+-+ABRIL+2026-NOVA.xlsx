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EstaPastaDeTrabalho"/>
  <bookViews>
    <workbookView windowWidth="27885" windowHeight="12450"/>
  </bookViews>
  <sheets>
    <sheet name="LIQ" sheetId="25" r:id="rId1"/>
  </sheets>
  <definedNames>
    <definedName name="_xlnm.Print_Area" localSheetId="0">LIQ!$A$1:$O$39</definedName>
  </definedNames>
  <calcPr calcId="144525"/>
</workbook>
</file>

<file path=xl/sharedStrings.xml><?xml version="1.0" encoding="utf-8"?>
<sst xmlns="http://schemas.openxmlformats.org/spreadsheetml/2006/main" count="47" uniqueCount="36">
  <si>
    <t xml:space="preserve"> BASIC</t>
  </si>
  <si>
    <t>Liquida - Sylvia Design</t>
  </si>
  <si>
    <t>Modelo</t>
  </si>
  <si>
    <t>Descrição</t>
  </si>
  <si>
    <t>m³</t>
  </si>
  <si>
    <t>Comp.</t>
  </si>
  <si>
    <t>Alt.</t>
  </si>
  <si>
    <t>Prof.</t>
  </si>
  <si>
    <t>Ab.</t>
  </si>
  <si>
    <t>Couro A</t>
  </si>
  <si>
    <t>Couro C</t>
  </si>
  <si>
    <t>TITANS (2602)</t>
  </si>
  <si>
    <r>
      <rPr>
        <sz val="12"/>
        <rFont val="Arial"/>
        <charset val="134"/>
      </rPr>
      <t xml:space="preserve">Sofá 1 br </t>
    </r>
    <r>
      <rPr>
        <b/>
        <sz val="12"/>
        <rFont val="Arial"/>
        <charset val="134"/>
      </rPr>
      <t>D/E</t>
    </r>
    <r>
      <rPr>
        <sz val="12"/>
        <rFont val="Arial"/>
        <charset val="134"/>
      </rPr>
      <t xml:space="preserve"> (1 ass 0,80 m)</t>
    </r>
  </si>
  <si>
    <r>
      <rPr>
        <sz val="12"/>
        <rFont val="Arial"/>
        <charset val="134"/>
      </rPr>
      <t xml:space="preserve">Sofá 1 br </t>
    </r>
    <r>
      <rPr>
        <b/>
        <sz val="12"/>
        <rFont val="Arial"/>
        <charset val="134"/>
      </rPr>
      <t>D/E</t>
    </r>
    <r>
      <rPr>
        <sz val="12"/>
        <rFont val="Arial"/>
        <charset val="134"/>
      </rPr>
      <t xml:space="preserve"> (1 ass 0,90 m)</t>
    </r>
  </si>
  <si>
    <r>
      <rPr>
        <sz val="12"/>
        <rFont val="Arial"/>
        <charset val="134"/>
      </rPr>
      <t xml:space="preserve">Sofá 1 br </t>
    </r>
    <r>
      <rPr>
        <b/>
        <sz val="12"/>
        <rFont val="Arial"/>
        <charset val="134"/>
      </rPr>
      <t>D/E</t>
    </r>
    <r>
      <rPr>
        <sz val="12"/>
        <rFont val="Arial"/>
        <charset val="134"/>
      </rPr>
      <t xml:space="preserve"> (1 ass 1,00 m)</t>
    </r>
  </si>
  <si>
    <r>
      <rPr>
        <sz val="12"/>
        <rFont val="Arial"/>
        <charset val="134"/>
      </rPr>
      <t xml:space="preserve">Sofá 1 br </t>
    </r>
    <r>
      <rPr>
        <b/>
        <sz val="12"/>
        <rFont val="Arial"/>
        <charset val="134"/>
      </rPr>
      <t>D/E</t>
    </r>
    <r>
      <rPr>
        <sz val="12"/>
        <rFont val="Arial"/>
        <charset val="134"/>
      </rPr>
      <t>(1 ass 1,10 m)</t>
    </r>
  </si>
  <si>
    <r>
      <rPr>
        <sz val="12"/>
        <rFont val="Arial"/>
        <charset val="134"/>
      </rPr>
      <t xml:space="preserve">Sofá 1 br </t>
    </r>
    <r>
      <rPr>
        <b/>
        <sz val="12"/>
        <rFont val="Arial"/>
        <charset val="134"/>
      </rPr>
      <t>D/E</t>
    </r>
    <r>
      <rPr>
        <sz val="12"/>
        <rFont val="Arial"/>
        <charset val="134"/>
      </rPr>
      <t xml:space="preserve"> (1 ass 1,20 m)</t>
    </r>
  </si>
  <si>
    <r>
      <rPr>
        <sz val="12"/>
        <rFont val="Arial"/>
        <charset val="134"/>
      </rPr>
      <t>Sofá</t>
    </r>
    <r>
      <rPr>
        <sz val="12"/>
        <color rgb="FFFF0000"/>
        <rFont val="Arial"/>
        <charset val="134"/>
      </rPr>
      <t xml:space="preserve"> S/</t>
    </r>
    <r>
      <rPr>
        <sz val="12"/>
        <rFont val="Arial"/>
        <charset val="134"/>
      </rPr>
      <t xml:space="preserve"> br (1 ass 0,80 m)</t>
    </r>
  </si>
  <si>
    <r>
      <rPr>
        <sz val="12"/>
        <rFont val="Arial"/>
        <charset val="134"/>
      </rPr>
      <t xml:space="preserve">Sofá </t>
    </r>
    <r>
      <rPr>
        <sz val="12"/>
        <color rgb="FFFF0000"/>
        <rFont val="Arial"/>
        <charset val="134"/>
      </rPr>
      <t>S/</t>
    </r>
    <r>
      <rPr>
        <sz val="12"/>
        <rFont val="Arial"/>
        <charset val="134"/>
      </rPr>
      <t xml:space="preserve"> br (1 ass 0,90 m)</t>
    </r>
  </si>
  <si>
    <r>
      <rPr>
        <sz val="12"/>
        <rFont val="Arial"/>
        <charset val="134"/>
      </rPr>
      <t xml:space="preserve">Sofá </t>
    </r>
    <r>
      <rPr>
        <sz val="12"/>
        <color rgb="FFFF0000"/>
        <rFont val="Arial"/>
        <charset val="134"/>
      </rPr>
      <t>S/</t>
    </r>
    <r>
      <rPr>
        <sz val="12"/>
        <rFont val="Arial"/>
        <charset val="134"/>
      </rPr>
      <t xml:space="preserve"> br (1 ass 1,00 m)</t>
    </r>
  </si>
  <si>
    <r>
      <rPr>
        <sz val="12"/>
        <rFont val="Arial"/>
        <charset val="134"/>
      </rPr>
      <t xml:space="preserve">Sofá </t>
    </r>
    <r>
      <rPr>
        <sz val="12"/>
        <color rgb="FFFF0000"/>
        <rFont val="Arial"/>
        <charset val="134"/>
      </rPr>
      <t>S/</t>
    </r>
    <r>
      <rPr>
        <sz val="12"/>
        <rFont val="Arial"/>
        <charset val="134"/>
      </rPr>
      <t xml:space="preserve"> br (1 ass 1,10 m)</t>
    </r>
  </si>
  <si>
    <r>
      <rPr>
        <sz val="12"/>
        <rFont val="Arial"/>
        <charset val="134"/>
      </rPr>
      <t xml:space="preserve">Sofá </t>
    </r>
    <r>
      <rPr>
        <sz val="12"/>
        <color rgb="FFFF0000"/>
        <rFont val="Arial"/>
        <charset val="134"/>
      </rPr>
      <t xml:space="preserve">S/ </t>
    </r>
    <r>
      <rPr>
        <sz val="12"/>
        <rFont val="Arial"/>
        <charset val="134"/>
      </rPr>
      <t>br (1 ass 1,20 m)</t>
    </r>
  </si>
  <si>
    <r>
      <rPr>
        <sz val="12"/>
        <rFont val="Arial"/>
        <charset val="134"/>
      </rPr>
      <t xml:space="preserve">Sofá </t>
    </r>
    <r>
      <rPr>
        <sz val="12"/>
        <color rgb="FFFF0000"/>
        <rFont val="Arial"/>
        <charset val="134"/>
      </rPr>
      <t xml:space="preserve">Canto/Chaise </t>
    </r>
    <r>
      <rPr>
        <sz val="12"/>
        <rFont val="Arial"/>
        <charset val="134"/>
      </rPr>
      <t xml:space="preserve">(01 ass 1,00 + puff 0,40) </t>
    </r>
    <r>
      <rPr>
        <b/>
        <sz val="12"/>
        <rFont val="Arial"/>
        <charset val="134"/>
      </rPr>
      <t xml:space="preserve"> D/E</t>
    </r>
  </si>
  <si>
    <r>
      <rPr>
        <sz val="12"/>
        <rFont val="Arial"/>
        <charset val="134"/>
      </rPr>
      <t>Sofá</t>
    </r>
    <r>
      <rPr>
        <sz val="12"/>
        <color rgb="FFFF0000"/>
        <rFont val="Arial"/>
        <charset val="134"/>
      </rPr>
      <t xml:space="preserve"> 01 BR </t>
    </r>
    <r>
      <rPr>
        <b/>
        <sz val="12"/>
        <color rgb="FFFF0000"/>
        <rFont val="Arial"/>
        <charset val="134"/>
      </rPr>
      <t>D/E</t>
    </r>
    <r>
      <rPr>
        <sz val="12"/>
        <rFont val="Arial"/>
        <charset val="134"/>
      </rPr>
      <t xml:space="preserve"> (1 ass 1,00 m) + S/ BR (01 ass 1,00) + </t>
    </r>
    <r>
      <rPr>
        <sz val="12"/>
        <color rgb="FFFF0000"/>
        <rFont val="Arial"/>
        <charset val="134"/>
      </rPr>
      <t xml:space="preserve">CANTO/CHAISE </t>
    </r>
    <r>
      <rPr>
        <sz val="12"/>
        <rFont val="Arial"/>
        <charset val="134"/>
      </rPr>
      <t xml:space="preserve"> </t>
    </r>
  </si>
  <si>
    <r>
      <rPr>
        <sz val="12"/>
        <rFont val="Arial"/>
        <charset val="134"/>
      </rPr>
      <t>Sofá</t>
    </r>
    <r>
      <rPr>
        <sz val="12"/>
        <color rgb="FFFF0000"/>
        <rFont val="Arial"/>
        <charset val="134"/>
      </rPr>
      <t xml:space="preserve"> 01 BR </t>
    </r>
    <r>
      <rPr>
        <b/>
        <sz val="12"/>
        <color rgb="FFFF0000"/>
        <rFont val="Arial"/>
        <charset val="134"/>
      </rPr>
      <t>D/E</t>
    </r>
    <r>
      <rPr>
        <sz val="12"/>
        <rFont val="Arial"/>
        <charset val="134"/>
      </rPr>
      <t xml:space="preserve"> (1 ass 1,00 m) + S/ BR (01 ass 1,00) + </t>
    </r>
    <r>
      <rPr>
        <sz val="12"/>
        <color rgb="FFFF0000"/>
        <rFont val="Arial"/>
        <charset val="134"/>
      </rPr>
      <t>CANTO/CHAISE</t>
    </r>
    <r>
      <rPr>
        <sz val="12"/>
        <rFont val="Arial"/>
        <charset val="134"/>
      </rPr>
      <t xml:space="preserve"> </t>
    </r>
  </si>
  <si>
    <r>
      <rPr>
        <sz val="12"/>
        <rFont val="Arial"/>
        <charset val="134"/>
      </rPr>
      <t>Sofá</t>
    </r>
    <r>
      <rPr>
        <sz val="12"/>
        <color rgb="FFFF0000"/>
        <rFont val="Arial"/>
        <charset val="134"/>
      </rPr>
      <t xml:space="preserve"> 01 BR </t>
    </r>
    <r>
      <rPr>
        <b/>
        <sz val="12"/>
        <color rgb="FFFF0000"/>
        <rFont val="Arial"/>
        <charset val="134"/>
      </rPr>
      <t>D/E</t>
    </r>
    <r>
      <rPr>
        <sz val="12"/>
        <rFont val="Arial"/>
        <charset val="134"/>
      </rPr>
      <t xml:space="preserve"> (1 ass 1,00 m) + S/ BR (01 ass 1,00) +</t>
    </r>
    <r>
      <rPr>
        <sz val="12"/>
        <color rgb="FFFF0000"/>
        <rFont val="Arial"/>
        <charset val="134"/>
      </rPr>
      <t xml:space="preserve"> CANTO/CHAISE</t>
    </r>
    <r>
      <rPr>
        <sz val="12"/>
        <rFont val="Arial"/>
        <charset val="134"/>
      </rPr>
      <t xml:space="preserve"> </t>
    </r>
  </si>
  <si>
    <r>
      <rPr>
        <sz val="12"/>
        <rFont val="Arial"/>
        <charset val="134"/>
      </rPr>
      <t>Sofá</t>
    </r>
    <r>
      <rPr>
        <sz val="12"/>
        <color rgb="FFFF0000"/>
        <rFont val="Arial"/>
        <charset val="134"/>
      </rPr>
      <t xml:space="preserve"> 01 BR </t>
    </r>
    <r>
      <rPr>
        <b/>
        <sz val="12"/>
        <color rgb="FFFF0000"/>
        <rFont val="Arial"/>
        <charset val="134"/>
      </rPr>
      <t>D/E</t>
    </r>
    <r>
      <rPr>
        <sz val="12"/>
        <rFont val="Arial"/>
        <charset val="134"/>
      </rPr>
      <t xml:space="preserve"> (1 ass 1,00 m) + S/ BR (01 ass 1,00) + </t>
    </r>
    <r>
      <rPr>
        <sz val="12"/>
        <color rgb="FFFF0000"/>
        <rFont val="Arial"/>
        <charset val="134"/>
      </rPr>
      <t xml:space="preserve">CANTO/CHAISE </t>
    </r>
  </si>
  <si>
    <t>BETIS (2603)</t>
  </si>
  <si>
    <r>
      <rPr>
        <sz val="12"/>
        <rFont val="Arial"/>
        <charset val="134"/>
      </rPr>
      <t xml:space="preserve">Sofá 1 br </t>
    </r>
    <r>
      <rPr>
        <b/>
        <sz val="12"/>
        <rFont val="Arial"/>
        <charset val="134"/>
      </rPr>
      <t>D/E</t>
    </r>
    <r>
      <rPr>
        <sz val="12"/>
        <rFont val="Arial"/>
        <charset val="134"/>
      </rPr>
      <t xml:space="preserve"> (1 ass 1,10 m)</t>
    </r>
  </si>
  <si>
    <r>
      <rPr>
        <sz val="12"/>
        <rFont val="Arial"/>
        <charset val="134"/>
      </rPr>
      <t xml:space="preserve">CHAISE S/ BR (01 ass 0,80 + </t>
    </r>
    <r>
      <rPr>
        <sz val="12"/>
        <color rgb="FFFF0000"/>
        <rFont val="Arial"/>
        <charset val="134"/>
      </rPr>
      <t>puff 0,40</t>
    </r>
    <r>
      <rPr>
        <sz val="12"/>
        <rFont val="Arial"/>
        <charset val="134"/>
      </rPr>
      <t>) D/E</t>
    </r>
  </si>
  <si>
    <r>
      <rPr>
        <sz val="12"/>
        <rFont val="Arial"/>
        <charset val="134"/>
      </rPr>
      <t>CHAISE S/ BR (01 ass 0,90 +</t>
    </r>
    <r>
      <rPr>
        <sz val="12"/>
        <color rgb="FFFF0000"/>
        <rFont val="Arial"/>
        <charset val="134"/>
      </rPr>
      <t xml:space="preserve"> puff 0,40</t>
    </r>
    <r>
      <rPr>
        <sz val="12"/>
        <rFont val="Arial"/>
        <charset val="134"/>
      </rPr>
      <t>) D/E</t>
    </r>
  </si>
  <si>
    <r>
      <rPr>
        <sz val="12"/>
        <rFont val="Arial"/>
        <charset val="134"/>
      </rPr>
      <t xml:space="preserve">CHAISE S/ BR (01 ass 1,00 + </t>
    </r>
    <r>
      <rPr>
        <sz val="12"/>
        <color rgb="FFFF0000"/>
        <rFont val="Arial"/>
        <charset val="134"/>
      </rPr>
      <t>puff 0,40</t>
    </r>
    <r>
      <rPr>
        <sz val="12"/>
        <rFont val="Arial"/>
        <charset val="134"/>
      </rPr>
      <t>) D/E</t>
    </r>
  </si>
  <si>
    <r>
      <rPr>
        <sz val="12"/>
        <rFont val="Arial"/>
        <charset val="134"/>
      </rPr>
      <t xml:space="preserve">CHAISE S/ BR (01 ass 1,10 + </t>
    </r>
    <r>
      <rPr>
        <sz val="12"/>
        <color rgb="FFFF0000"/>
        <rFont val="Arial"/>
        <charset val="134"/>
      </rPr>
      <t>puff 0,40</t>
    </r>
    <r>
      <rPr>
        <sz val="12"/>
        <rFont val="Arial"/>
        <charset val="134"/>
      </rPr>
      <t>) D/E</t>
    </r>
  </si>
  <si>
    <r>
      <rPr>
        <sz val="12"/>
        <rFont val="Arial"/>
        <charset val="134"/>
      </rPr>
      <t xml:space="preserve">CHAISE S/ BR (01 ass 1,20 + </t>
    </r>
    <r>
      <rPr>
        <sz val="12"/>
        <color rgb="FFFF0000"/>
        <rFont val="Arial"/>
        <charset val="134"/>
      </rPr>
      <t>puff 0,40</t>
    </r>
    <r>
      <rPr>
        <sz val="12"/>
        <rFont val="Arial"/>
        <charset val="134"/>
      </rPr>
      <t>) D/E</t>
    </r>
  </si>
  <si>
    <t>CANTO</t>
  </si>
  <si>
    <r>
      <rPr>
        <sz val="12"/>
        <rFont val="Arial"/>
        <charset val="134"/>
      </rPr>
      <t>Sofá</t>
    </r>
    <r>
      <rPr>
        <sz val="12"/>
        <color rgb="FFFF0000"/>
        <rFont val="Arial"/>
        <charset val="134"/>
      </rPr>
      <t xml:space="preserve"> 01 BR </t>
    </r>
    <r>
      <rPr>
        <b/>
        <sz val="12"/>
        <color rgb="FFFF0000"/>
        <rFont val="Arial"/>
        <charset val="134"/>
      </rPr>
      <t>D/E</t>
    </r>
    <r>
      <rPr>
        <b/>
        <sz val="12"/>
        <rFont val="Arial"/>
        <charset val="134"/>
      </rPr>
      <t xml:space="preserve"> </t>
    </r>
    <r>
      <rPr>
        <sz val="12"/>
        <rFont val="Arial"/>
        <charset val="134"/>
      </rPr>
      <t xml:space="preserve">(1 ass 0,90 m) + S/ BR (01 ass 0,90) + </t>
    </r>
    <r>
      <rPr>
        <sz val="12"/>
        <color rgb="FFFF0000"/>
        <rFont val="Arial"/>
        <charset val="134"/>
      </rPr>
      <t>CANTO+CHAISE</t>
    </r>
    <r>
      <rPr>
        <sz val="12"/>
        <rFont val="Arial"/>
        <charset val="134"/>
      </rPr>
      <t xml:space="preserve"> </t>
    </r>
  </si>
</sst>
</file>

<file path=xl/styles.xml><?xml version="1.0" encoding="utf-8"?>
<styleSheet xmlns="http://schemas.openxmlformats.org/spreadsheetml/2006/main">
  <numFmts count="6">
    <numFmt numFmtId="176" formatCode="#,##0.&quot;00&quot;"/>
    <numFmt numFmtId="177" formatCode="_-* #,##0_-;\-* #,##0_-;_-* &quot;-&quot;_-;_-@_-"/>
    <numFmt numFmtId="178" formatCode="_-* #,##0.00_-;\-* #,##0.00_-;_-* &quot;-&quot;??_-;_-@_-"/>
    <numFmt numFmtId="179" formatCode="_(* #,##0.00_);_(* \(#,##0.00\);_(* &quot;-&quot;??_);_(@_)"/>
    <numFmt numFmtId="180" formatCode="_-&quot;R$&quot;\ * #,##0_-;\-&quot;R$&quot;\ * #,##0_-;_-&quot;R$&quot;\ * &quot;-&quot;_-;_-@_-"/>
    <numFmt numFmtId="181" formatCode="_-&quot;R$&quot;\ * #,##0.00_-;\-&quot;R$&quot;\ * #,##0.00_-;_-&quot;R$&quot;\ * &quot;-&quot;??_-;_-@_-"/>
  </numFmts>
  <fonts count="33">
    <font>
      <sz val="10"/>
      <name val="Arial"/>
      <charset val="134"/>
    </font>
    <font>
      <sz val="9"/>
      <name val="Arial"/>
      <charset val="134"/>
    </font>
    <font>
      <sz val="10"/>
      <name val="Arial"/>
      <charset val="134"/>
    </font>
    <font>
      <b/>
      <sz val="25"/>
      <color rgb="FFFF0000"/>
      <name val="Arial"/>
      <charset val="134"/>
    </font>
    <font>
      <b/>
      <sz val="10"/>
      <color rgb="FF0070C0"/>
      <name val="Arial"/>
      <charset val="134"/>
    </font>
    <font>
      <b/>
      <sz val="12"/>
      <color indexed="9"/>
      <name val="Arial"/>
      <charset val="134"/>
    </font>
    <font>
      <b/>
      <sz val="12"/>
      <color indexed="9"/>
      <name val="Arial Narrow"/>
      <charset val="134"/>
    </font>
    <font>
      <b/>
      <sz val="12"/>
      <color indexed="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b/>
      <sz val="10"/>
      <color indexed="39"/>
      <name val="Arial"/>
      <charset val="134"/>
    </font>
    <font>
      <sz val="12"/>
      <color rgb="FFFF0000"/>
      <name val="Arial"/>
      <charset val="134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2"/>
      <color rgb="FFFF0000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indexed="9"/>
      </right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indexed="9"/>
      </right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 style="double">
        <color auto="1"/>
      </bottom>
      <diagonal/>
    </border>
    <border>
      <left/>
      <right style="thin">
        <color indexed="9"/>
      </right>
      <top style="double">
        <color auto="1"/>
      </top>
      <bottom style="double">
        <color auto="1"/>
      </bottom>
      <diagonal/>
    </border>
    <border>
      <left style="thin">
        <color indexed="9"/>
      </left>
      <right style="thin">
        <color indexed="9"/>
      </right>
      <top style="double">
        <color auto="1"/>
      </top>
      <bottom style="double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/>
      <top style="medium">
        <color auto="1"/>
      </top>
      <bottom/>
      <diagonal/>
    </border>
    <border>
      <left style="thin">
        <color indexed="9"/>
      </left>
      <right style="thin">
        <color auto="1"/>
      </right>
      <top style="medium">
        <color auto="1"/>
      </top>
      <bottom/>
      <diagonal/>
    </border>
    <border>
      <left style="thin">
        <color indexed="9"/>
      </left>
      <right style="thin">
        <color auto="1"/>
      </right>
      <top/>
      <bottom style="double">
        <color auto="1"/>
      </bottom>
      <diagonal/>
    </border>
    <border>
      <left style="thin">
        <color indexed="9"/>
      </left>
      <right/>
      <top style="double">
        <color auto="1"/>
      </top>
      <bottom style="double">
        <color auto="1"/>
      </bottom>
      <diagonal/>
    </border>
    <border>
      <left style="thin">
        <color indexed="9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9"/>
      </left>
      <right style="thin">
        <color auto="1"/>
      </right>
      <top/>
      <bottom style="thin">
        <color indexed="9"/>
      </bottom>
      <diagonal/>
    </border>
    <border>
      <left style="thin">
        <color indexed="9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8">
    <xf numFmtId="0" fontId="0" fillId="0" borderId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" fillId="0" borderId="0"/>
    <xf numFmtId="0" fontId="2" fillId="0" borderId="0"/>
    <xf numFmtId="0" fontId="15" fillId="4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" fillId="0" borderId="0"/>
    <xf numFmtId="0" fontId="20" fillId="1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7" fillId="21" borderId="37" applyNumberFormat="0" applyAlignment="0" applyProtection="0">
      <alignment vertical="center"/>
    </xf>
    <xf numFmtId="181" fontId="12" fillId="0" borderId="0" applyFont="0" applyFill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2" fillId="18" borderId="34" applyNumberFormat="0" applyFont="0" applyAlignment="0" applyProtection="0">
      <alignment vertical="center"/>
    </xf>
    <xf numFmtId="0" fontId="31" fillId="42" borderId="3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21" borderId="36" applyNumberFormat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8" fontId="2" fillId="0" borderId="0" applyFont="0" applyFill="0" applyBorder="0" applyAlignment="0" applyProtection="0"/>
    <xf numFmtId="180" fontId="1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179" fontId="2" fillId="0" borderId="0" applyFont="0" applyFill="0" applyBorder="0" applyAlignment="0" applyProtection="0"/>
    <xf numFmtId="0" fontId="13" fillId="14" borderId="31" applyNumberFormat="0" applyAlignment="0" applyProtection="0">
      <alignment vertical="center"/>
    </xf>
    <xf numFmtId="178" fontId="2" fillId="0" borderId="0" applyFont="0" applyFill="0" applyBorder="0" applyAlignment="0" applyProtection="0"/>
    <xf numFmtId="0" fontId="15" fillId="15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109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" fontId="6" fillId="5" borderId="4" xfId="0" applyNumberFormat="1" applyFont="1" applyFill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top"/>
    </xf>
    <xf numFmtId="4" fontId="8" fillId="6" borderId="0" xfId="0" applyNumberFormat="1" applyFont="1" applyFill="1" applyBorder="1" applyAlignment="1">
      <alignment vertical="center" shrinkToFit="1"/>
    </xf>
    <xf numFmtId="4" fontId="8" fillId="6" borderId="0" xfId="0" applyNumberFormat="1" applyFont="1" applyFill="1" applyBorder="1" applyAlignment="1">
      <alignment horizontal="center" vertical="center"/>
    </xf>
    <xf numFmtId="4" fontId="9" fillId="7" borderId="0" xfId="0" applyNumberFormat="1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top"/>
    </xf>
    <xf numFmtId="4" fontId="8" fillId="8" borderId="0" xfId="0" applyNumberFormat="1" applyFont="1" applyFill="1" applyBorder="1" applyAlignment="1">
      <alignment horizontal="center" vertical="center"/>
    </xf>
    <xf numFmtId="4" fontId="8" fillId="2" borderId="0" xfId="0" applyNumberFormat="1" applyFont="1" applyFill="1" applyBorder="1" applyAlignment="1">
      <alignment vertical="center" shrinkToFit="1"/>
    </xf>
    <xf numFmtId="4" fontId="8" fillId="2" borderId="0" xfId="0" applyNumberFormat="1" applyFont="1" applyFill="1" applyBorder="1" applyAlignment="1">
      <alignment horizontal="center" vertical="center"/>
    </xf>
    <xf numFmtId="4" fontId="9" fillId="2" borderId="0" xfId="0" applyNumberFormat="1" applyFont="1" applyFill="1" applyBorder="1" applyAlignment="1">
      <alignment horizontal="center" vertical="center"/>
    </xf>
    <xf numFmtId="4" fontId="8" fillId="9" borderId="0" xfId="0" applyNumberFormat="1" applyFont="1" applyFill="1" applyBorder="1" applyAlignment="1">
      <alignment horizontal="center" vertical="center"/>
    </xf>
    <xf numFmtId="4" fontId="8" fillId="6" borderId="7" xfId="0" applyNumberFormat="1" applyFont="1" applyFill="1" applyBorder="1" applyAlignment="1">
      <alignment vertical="center" shrinkToFit="1"/>
    </xf>
    <xf numFmtId="4" fontId="8" fillId="10" borderId="8" xfId="0" applyNumberFormat="1" applyFont="1" applyFill="1" applyBorder="1" applyAlignment="1">
      <alignment horizontal="center" vertical="center"/>
    </xf>
    <xf numFmtId="4" fontId="9" fillId="7" borderId="8" xfId="0" applyNumberFormat="1" applyFont="1" applyFill="1" applyBorder="1" applyAlignment="1">
      <alignment horizontal="center" vertical="center"/>
    </xf>
    <xf numFmtId="4" fontId="8" fillId="2" borderId="9" xfId="0" applyNumberFormat="1" applyFont="1" applyFill="1" applyBorder="1" applyAlignment="1">
      <alignment vertical="center" shrinkToFit="1"/>
    </xf>
    <xf numFmtId="4" fontId="8" fillId="2" borderId="10" xfId="0" applyNumberFormat="1" applyFont="1" applyFill="1" applyBorder="1" applyAlignment="1">
      <alignment horizontal="center" vertical="center"/>
    </xf>
    <xf numFmtId="4" fontId="9" fillId="2" borderId="10" xfId="0" applyNumberFormat="1" applyFont="1" applyFill="1" applyBorder="1" applyAlignment="1">
      <alignment horizontal="center" vertical="center"/>
    </xf>
    <xf numFmtId="4" fontId="8" fillId="11" borderId="0" xfId="0" applyNumberFormat="1" applyFont="1" applyFill="1" applyBorder="1" applyAlignment="1">
      <alignment vertical="center" shrinkToFit="1"/>
    </xf>
    <xf numFmtId="4" fontId="8" fillId="11" borderId="0" xfId="0" applyNumberFormat="1" applyFont="1" applyFill="1" applyBorder="1" applyAlignment="1">
      <alignment horizontal="center" vertical="center"/>
    </xf>
    <xf numFmtId="4" fontId="9" fillId="11" borderId="0" xfId="0" applyNumberFormat="1" applyFont="1" applyFill="1" applyBorder="1" applyAlignment="1">
      <alignment horizontal="center" vertical="center"/>
    </xf>
    <xf numFmtId="4" fontId="8" fillId="6" borderId="1" xfId="0" applyNumberFormat="1" applyFont="1" applyFill="1" applyBorder="1" applyAlignment="1">
      <alignment vertical="center" shrinkToFit="1"/>
    </xf>
    <xf numFmtId="4" fontId="8" fillId="9" borderId="1" xfId="0" applyNumberFormat="1" applyFont="1" applyFill="1" applyBorder="1" applyAlignment="1">
      <alignment horizontal="center" vertical="center"/>
    </xf>
    <xf numFmtId="4" fontId="9" fillId="7" borderId="1" xfId="0" applyNumberFormat="1" applyFont="1" applyFill="1" applyBorder="1" applyAlignment="1">
      <alignment horizontal="center" vertical="center"/>
    </xf>
    <xf numFmtId="4" fontId="8" fillId="10" borderId="0" xfId="0" applyNumberFormat="1" applyFont="1" applyFill="1" applyBorder="1" applyAlignment="1">
      <alignment horizontal="center" vertical="center"/>
    </xf>
    <xf numFmtId="4" fontId="8" fillId="2" borderId="11" xfId="0" applyNumberFormat="1" applyFont="1" applyFill="1" applyBorder="1" applyAlignment="1">
      <alignment vertical="center" shrinkToFit="1"/>
    </xf>
    <xf numFmtId="4" fontId="8" fillId="2" borderId="12" xfId="0" applyNumberFormat="1" applyFont="1" applyFill="1" applyBorder="1" applyAlignment="1">
      <alignment horizontal="center" vertical="center"/>
    </xf>
    <xf numFmtId="4" fontId="9" fillId="7" borderId="13" xfId="0" applyNumberFormat="1" applyFont="1" applyFill="1" applyBorder="1" applyAlignment="1">
      <alignment horizontal="center" vertical="center"/>
    </xf>
    <xf numFmtId="4" fontId="9" fillId="2" borderId="12" xfId="0" applyNumberFormat="1" applyFont="1" applyFill="1" applyBorder="1" applyAlignment="1">
      <alignment horizontal="center" vertical="center"/>
    </xf>
    <xf numFmtId="4" fontId="9" fillId="7" borderId="0" xfId="0" applyNumberFormat="1" applyFont="1" applyFill="1" applyAlignment="1">
      <alignment horizontal="center" vertical="center"/>
    </xf>
    <xf numFmtId="4" fontId="8" fillId="2" borderId="7" xfId="0" applyNumberFormat="1" applyFont="1" applyFill="1" applyBorder="1" applyAlignment="1">
      <alignment vertical="center" shrinkToFit="1"/>
    </xf>
    <xf numFmtId="4" fontId="8" fillId="2" borderId="8" xfId="0" applyNumberFormat="1" applyFont="1" applyFill="1" applyBorder="1" applyAlignment="1">
      <alignment horizontal="center" vertical="center"/>
    </xf>
    <xf numFmtId="1" fontId="7" fillId="2" borderId="14" xfId="0" applyNumberFormat="1" applyFont="1" applyFill="1" applyBorder="1" applyAlignment="1">
      <alignment horizontal="center" vertical="top"/>
    </xf>
    <xf numFmtId="0" fontId="0" fillId="3" borderId="0" xfId="0" applyFill="1"/>
    <xf numFmtId="0" fontId="10" fillId="0" borderId="0" xfId="0" applyFont="1" applyAlignment="1">
      <alignment horizontal="center"/>
    </xf>
    <xf numFmtId="1" fontId="5" fillId="12" borderId="4" xfId="0" applyNumberFormat="1" applyFont="1" applyFill="1" applyBorder="1" applyAlignment="1">
      <alignment horizontal="center" vertical="center"/>
    </xf>
    <xf numFmtId="4" fontId="11" fillId="6" borderId="0" xfId="0" applyNumberFormat="1" applyFont="1" applyFill="1" applyBorder="1" applyAlignment="1">
      <alignment horizontal="center" vertical="center"/>
    </xf>
    <xf numFmtId="176" fontId="8" fillId="12" borderId="0" xfId="0" applyNumberFormat="1" applyFont="1" applyFill="1" applyBorder="1" applyAlignment="1">
      <alignment horizontal="center" vertical="center"/>
    </xf>
    <xf numFmtId="4" fontId="11" fillId="9" borderId="0" xfId="0" applyNumberFormat="1" applyFont="1" applyFill="1" applyBorder="1" applyAlignment="1">
      <alignment horizontal="center" vertical="center"/>
    </xf>
    <xf numFmtId="4" fontId="11" fillId="2" borderId="0" xfId="0" applyNumberFormat="1" applyFont="1" applyFill="1" applyBorder="1" applyAlignment="1">
      <alignment horizontal="center" vertical="center"/>
    </xf>
    <xf numFmtId="4" fontId="8" fillId="6" borderId="8" xfId="0" applyNumberFormat="1" applyFont="1" applyFill="1" applyBorder="1" applyAlignment="1">
      <alignment horizontal="center" vertical="center"/>
    </xf>
    <xf numFmtId="4" fontId="11" fillId="6" borderId="8" xfId="0" applyNumberFormat="1" applyFont="1" applyFill="1" applyBorder="1" applyAlignment="1">
      <alignment horizontal="center" vertical="center"/>
    </xf>
    <xf numFmtId="176" fontId="8" fillId="12" borderId="8" xfId="0" applyNumberFormat="1" applyFont="1" applyFill="1" applyBorder="1" applyAlignment="1">
      <alignment horizontal="center" vertical="center"/>
    </xf>
    <xf numFmtId="4" fontId="11" fillId="2" borderId="10" xfId="0" applyNumberFormat="1" applyFont="1" applyFill="1" applyBorder="1" applyAlignment="1">
      <alignment horizontal="center" vertical="center"/>
    </xf>
    <xf numFmtId="176" fontId="8" fillId="12" borderId="10" xfId="0" applyNumberFormat="1" applyFont="1" applyFill="1" applyBorder="1" applyAlignment="1">
      <alignment horizontal="center" vertical="center"/>
    </xf>
    <xf numFmtId="4" fontId="11" fillId="11" borderId="0" xfId="0" applyNumberFormat="1" applyFont="1" applyFill="1" applyBorder="1" applyAlignment="1">
      <alignment horizontal="center" vertical="center"/>
    </xf>
    <xf numFmtId="176" fontId="8" fillId="11" borderId="0" xfId="0" applyNumberFormat="1" applyFont="1" applyFill="1" applyBorder="1" applyAlignment="1">
      <alignment horizontal="center" vertical="center"/>
    </xf>
    <xf numFmtId="4" fontId="8" fillId="6" borderId="1" xfId="0" applyNumberFormat="1" applyFont="1" applyFill="1" applyBorder="1" applyAlignment="1">
      <alignment horizontal="center" vertical="center"/>
    </xf>
    <xf numFmtId="4" fontId="11" fillId="9" borderId="1" xfId="0" applyNumberFormat="1" applyFont="1" applyFill="1" applyBorder="1" applyAlignment="1">
      <alignment horizontal="center" vertical="center"/>
    </xf>
    <xf numFmtId="176" fontId="8" fillId="12" borderId="1" xfId="0" applyNumberFormat="1" applyFont="1" applyFill="1" applyBorder="1" applyAlignment="1">
      <alignment horizontal="center" vertical="center"/>
    </xf>
    <xf numFmtId="4" fontId="11" fillId="6" borderId="15" xfId="0" applyNumberFormat="1" applyFont="1" applyFill="1" applyBorder="1" applyAlignment="1">
      <alignment horizontal="center" vertical="center"/>
    </xf>
    <xf numFmtId="176" fontId="8" fillId="12" borderId="13" xfId="0" applyNumberFormat="1" applyFont="1" applyFill="1" applyBorder="1" applyAlignment="1">
      <alignment horizontal="center" vertical="center"/>
    </xf>
    <xf numFmtId="4" fontId="11" fillId="2" borderId="16" xfId="0" applyNumberFormat="1" applyFont="1" applyFill="1" applyBorder="1" applyAlignment="1">
      <alignment horizontal="center" vertical="center"/>
    </xf>
    <xf numFmtId="176" fontId="8" fillId="12" borderId="17" xfId="0" applyNumberFormat="1" applyFont="1" applyFill="1" applyBorder="1" applyAlignment="1">
      <alignment horizontal="center" vertical="center"/>
    </xf>
    <xf numFmtId="4" fontId="11" fillId="6" borderId="16" xfId="0" applyNumberFormat="1" applyFont="1" applyFill="1" applyBorder="1" applyAlignment="1">
      <alignment horizontal="center" vertical="center"/>
    </xf>
    <xf numFmtId="4" fontId="11" fillId="9" borderId="11" xfId="0" applyNumberFormat="1" applyFont="1" applyFill="1" applyBorder="1" applyAlignment="1">
      <alignment horizontal="center" vertical="center"/>
    </xf>
    <xf numFmtId="176" fontId="8" fillId="12" borderId="18" xfId="0" applyNumberFormat="1" applyFont="1" applyFill="1" applyBorder="1" applyAlignment="1">
      <alignment horizontal="center" vertical="center"/>
    </xf>
    <xf numFmtId="4" fontId="8" fillId="8" borderId="13" xfId="0" applyNumberFormat="1" applyFont="1" applyFill="1" applyBorder="1" applyAlignment="1">
      <alignment horizontal="center" vertical="center"/>
    </xf>
    <xf numFmtId="176" fontId="8" fillId="12" borderId="12" xfId="0" applyNumberFormat="1" applyFont="1" applyFill="1" applyBorder="1" applyAlignment="1">
      <alignment horizontal="center" vertical="center"/>
    </xf>
    <xf numFmtId="4" fontId="8" fillId="2" borderId="19" xfId="0" applyNumberFormat="1" applyFont="1" applyFill="1" applyBorder="1" applyAlignment="1">
      <alignment horizontal="center" vertical="center"/>
    </xf>
    <xf numFmtId="4" fontId="8" fillId="8" borderId="0" xfId="0" applyNumberFormat="1" applyFont="1" applyFill="1" applyAlignment="1">
      <alignment horizontal="center" vertical="center"/>
    </xf>
    <xf numFmtId="176" fontId="8" fillId="12" borderId="0" xfId="0" applyNumberFormat="1" applyFont="1" applyFill="1" applyAlignment="1">
      <alignment horizontal="center" vertical="center"/>
    </xf>
    <xf numFmtId="4" fontId="8" fillId="8" borderId="8" xfId="0" applyNumberFormat="1" applyFont="1" applyFill="1" applyBorder="1" applyAlignment="1">
      <alignment horizontal="center" vertical="center"/>
    </xf>
    <xf numFmtId="176" fontId="8" fillId="12" borderId="20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10" fillId="0" borderId="0" xfId="0" applyFont="1"/>
    <xf numFmtId="176" fontId="8" fillId="2" borderId="0" xfId="0" applyNumberFormat="1" applyFont="1" applyFill="1" applyBorder="1" applyAlignment="1">
      <alignment horizontal="center" vertical="center"/>
    </xf>
    <xf numFmtId="176" fontId="8" fillId="8" borderId="0" xfId="0" applyNumberFormat="1" applyFont="1" applyFill="1" applyBorder="1" applyAlignment="1">
      <alignment horizontal="center" vertical="center"/>
    </xf>
    <xf numFmtId="176" fontId="8" fillId="2" borderId="8" xfId="0" applyNumberFormat="1" applyFont="1" applyFill="1" applyBorder="1" applyAlignment="1">
      <alignment horizontal="center" vertical="center"/>
    </xf>
    <xf numFmtId="176" fontId="8" fillId="2" borderId="10" xfId="0" applyNumberFormat="1" applyFont="1" applyFill="1" applyBorder="1" applyAlignment="1">
      <alignment horizontal="center" vertical="center"/>
    </xf>
    <xf numFmtId="176" fontId="8" fillId="2" borderId="13" xfId="0" applyNumberFormat="1" applyFont="1" applyFill="1" applyBorder="1" applyAlignment="1">
      <alignment horizontal="center" vertical="center"/>
    </xf>
    <xf numFmtId="176" fontId="8" fillId="2" borderId="18" xfId="0" applyNumberFormat="1" applyFont="1" applyFill="1" applyBorder="1" applyAlignment="1">
      <alignment horizontal="center" vertical="center"/>
    </xf>
    <xf numFmtId="176" fontId="8" fillId="12" borderId="21" xfId="0" applyNumberFormat="1" applyFont="1" applyFill="1" applyBorder="1" applyAlignment="1">
      <alignment horizontal="center" vertical="center"/>
    </xf>
    <xf numFmtId="176" fontId="8" fillId="12" borderId="22" xfId="0" applyNumberFormat="1" applyFont="1" applyFill="1" applyBorder="1" applyAlignment="1">
      <alignment horizontal="center" vertical="center"/>
    </xf>
    <xf numFmtId="176" fontId="8" fillId="2" borderId="23" xfId="0" applyNumberFormat="1" applyFont="1" applyFill="1" applyBorder="1" applyAlignment="1">
      <alignment horizontal="center" vertical="center"/>
    </xf>
    <xf numFmtId="176" fontId="8" fillId="8" borderId="12" xfId="0" applyNumberFormat="1" applyFont="1" applyFill="1" applyBorder="1" applyAlignment="1">
      <alignment horizontal="center" vertical="center"/>
    </xf>
    <xf numFmtId="176" fontId="8" fillId="8" borderId="0" xfId="0" applyNumberFormat="1" applyFont="1" applyFill="1" applyAlignment="1">
      <alignment horizontal="center" vertical="center"/>
    </xf>
    <xf numFmtId="176" fontId="8" fillId="12" borderId="23" xfId="0" applyNumberFormat="1" applyFont="1" applyFill="1" applyBorder="1" applyAlignment="1">
      <alignment horizontal="center" vertical="center"/>
    </xf>
    <xf numFmtId="176" fontId="8" fillId="8" borderId="23" xfId="0" applyNumberFormat="1" applyFont="1" applyFill="1" applyBorder="1" applyAlignment="1">
      <alignment horizontal="center" vertical="center"/>
    </xf>
    <xf numFmtId="0" fontId="10" fillId="0" borderId="2" xfId="0" applyFont="1" applyBorder="1"/>
    <xf numFmtId="17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5" fillId="4" borderId="24" xfId="0" applyNumberFormat="1" applyFont="1" applyFill="1" applyBorder="1" applyAlignment="1">
      <alignment horizontal="center" vertical="center"/>
    </xf>
    <xf numFmtId="1" fontId="9" fillId="13" borderId="25" xfId="0" applyNumberFormat="1" applyFont="1" applyFill="1" applyBorder="1" applyAlignment="1">
      <alignment horizontal="center" vertical="center"/>
    </xf>
    <xf numFmtId="176" fontId="8" fillId="13" borderId="0" xfId="0" applyNumberFormat="1" applyFont="1" applyFill="1" applyBorder="1" applyAlignment="1">
      <alignment horizontal="center" vertical="center"/>
    </xf>
    <xf numFmtId="176" fontId="8" fillId="13" borderId="26" xfId="0" applyNumberFormat="1" applyFont="1" applyFill="1" applyBorder="1" applyAlignment="1">
      <alignment horizontal="center" vertical="center"/>
    </xf>
    <xf numFmtId="176" fontId="8" fillId="2" borderId="27" xfId="0" applyNumberFormat="1" applyFont="1" applyFill="1" applyBorder="1" applyAlignment="1">
      <alignment horizontal="center" vertical="center"/>
    </xf>
    <xf numFmtId="176" fontId="8" fillId="13" borderId="28" xfId="0" applyNumberFormat="1" applyFont="1" applyFill="1" applyBorder="1" applyAlignment="1">
      <alignment horizontal="center" vertical="center"/>
    </xf>
    <xf numFmtId="176" fontId="8" fillId="13" borderId="1" xfId="0" applyNumberFormat="1" applyFont="1" applyFill="1" applyBorder="1" applyAlignment="1">
      <alignment horizontal="center" vertical="center"/>
    </xf>
    <xf numFmtId="176" fontId="8" fillId="13" borderId="29" xfId="0" applyNumberFormat="1" applyFont="1" applyFill="1" applyBorder="1" applyAlignment="1">
      <alignment horizontal="center" vertical="center"/>
    </xf>
    <xf numFmtId="176" fontId="8" fillId="13" borderId="30" xfId="0" applyNumberFormat="1" applyFont="1" applyFill="1" applyBorder="1" applyAlignment="1">
      <alignment horizontal="center" vertical="center"/>
    </xf>
    <xf numFmtId="176" fontId="8" fillId="13" borderId="23" xfId="0" applyNumberFormat="1" applyFont="1" applyFill="1" applyBorder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176" fontId="8" fillId="13" borderId="0" xfId="0" applyNumberFormat="1" applyFont="1" applyFill="1" applyAlignment="1">
      <alignment horizontal="center" vertical="center"/>
    </xf>
  </cellXfs>
  <cellStyles count="58">
    <cellStyle name="Normal" xfId="0" builtinId="0"/>
    <cellStyle name="Vírgula 2" xfId="1"/>
    <cellStyle name="Separador de milhares 2 3" xfId="2"/>
    <cellStyle name="Separador de milhares 2" xfId="3"/>
    <cellStyle name="Normal 2 2" xfId="4"/>
    <cellStyle name="Normal 2" xfId="5"/>
    <cellStyle name="60% - Accent6" xfId="6" builtinId="52"/>
    <cellStyle name="40% - Accent6" xfId="7" builtinId="51"/>
    <cellStyle name="60% - Accent5" xfId="8" builtinId="48"/>
    <cellStyle name="Accent6" xfId="9" builtinId="49"/>
    <cellStyle name="40% - Accent5" xfId="10" builtinId="47"/>
    <cellStyle name="20% - Accent5" xfId="11" builtinId="46"/>
    <cellStyle name="60% - Accent4" xfId="12" builtinId="44"/>
    <cellStyle name="Accent5" xfId="13" builtinId="45"/>
    <cellStyle name="40% - Accent4" xfId="14" builtinId="43"/>
    <cellStyle name="Accent4" xfId="15" builtinId="41"/>
    <cellStyle name="Linked Cell" xfId="16" builtinId="24"/>
    <cellStyle name="40% - Accent3" xfId="17" builtinId="39"/>
    <cellStyle name="60% - Accent2" xfId="18" builtinId="36"/>
    <cellStyle name="Accent3" xfId="19" builtinId="37"/>
    <cellStyle name="40% - Accent2" xfId="20" builtinId="35"/>
    <cellStyle name="20% - Accent2" xfId="21" builtinId="34"/>
    <cellStyle name="Accent2" xfId="22" builtinId="33"/>
    <cellStyle name="40% - Accent1" xfId="23" builtinId="31"/>
    <cellStyle name="Normal 3" xfId="24"/>
    <cellStyle name="20% - Accent1" xfId="25" builtinId="30"/>
    <cellStyle name="Accent1" xfId="26" builtinId="29"/>
    <cellStyle name="Neutral" xfId="27" builtinId="28"/>
    <cellStyle name="60% - Accent1" xfId="28" builtinId="32"/>
    <cellStyle name="Bad" xfId="29" builtinId="27"/>
    <cellStyle name="20% - Accent4" xfId="30" builtinId="42"/>
    <cellStyle name="Total" xfId="31" builtinId="25"/>
    <cellStyle name="Output" xfId="32" builtinId="21"/>
    <cellStyle name="Currency" xfId="33" builtinId="4"/>
    <cellStyle name="20% - Accent3" xfId="34" builtinId="38"/>
    <cellStyle name="Note" xfId="35" builtinId="10"/>
    <cellStyle name="Input" xfId="36" builtinId="20"/>
    <cellStyle name="Heading 4" xfId="37" builtinId="19"/>
    <cellStyle name="Calculation" xfId="38" builtinId="22"/>
    <cellStyle name="Good" xfId="39" builtinId="26"/>
    <cellStyle name="Heading 3" xfId="40" builtinId="18"/>
    <cellStyle name="CExplanatory Text" xfId="41" builtinId="53"/>
    <cellStyle name="Heading 1" xfId="42" builtinId="16"/>
    <cellStyle name="Comma [0]" xfId="43" builtinId="6"/>
    <cellStyle name="20% - Accent6" xfId="44" builtinId="50"/>
    <cellStyle name="Title" xfId="45" builtinId="15"/>
    <cellStyle name="Vírgula 2 2" xfId="46"/>
    <cellStyle name="Currency [0]" xfId="47" builtinId="7"/>
    <cellStyle name="Separador de milhares 2 2" xfId="48"/>
    <cellStyle name="Warning Text" xfId="49" builtinId="11"/>
    <cellStyle name="Followed Hyperlink" xfId="50" builtinId="9"/>
    <cellStyle name="Heading 2" xfId="51" builtinId="17"/>
    <cellStyle name="Comma" xfId="52" builtinId="3"/>
    <cellStyle name="Check Cell" xfId="53" builtinId="23"/>
    <cellStyle name="Separador de milhares 2 2 2" xfId="54"/>
    <cellStyle name="60% - Accent3" xfId="55" builtinId="40"/>
    <cellStyle name="Percent" xfId="56" builtinId="5"/>
    <cellStyle name="Hyperlink" xfId="57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F1F1F1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00FFFF99"/>
      <color rgb="00E2E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352425</xdr:colOff>
      <xdr:row>207</xdr:row>
      <xdr:rowOff>0</xdr:rowOff>
    </xdr:from>
    <xdr:to>
      <xdr:col>1</xdr:col>
      <xdr:colOff>271992</xdr:colOff>
      <xdr:row>207</xdr:row>
      <xdr:rowOff>0</xdr:rowOff>
    </xdr:to>
    <xdr:pic>
      <xdr:nvPicPr>
        <xdr:cNvPr id="2" name="Picture 71" descr="D:\Trabalhos\KF\Tabelas Excel\img 2008\6020.jp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2425" y="48524795"/>
          <a:ext cx="21196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352425</xdr:colOff>
      <xdr:row>207</xdr:row>
      <xdr:rowOff>0</xdr:rowOff>
    </xdr:from>
    <xdr:to>
      <xdr:col>1</xdr:col>
      <xdr:colOff>271992</xdr:colOff>
      <xdr:row>207</xdr:row>
      <xdr:rowOff>0</xdr:rowOff>
    </xdr:to>
    <xdr:pic>
      <xdr:nvPicPr>
        <xdr:cNvPr id="3" name="Picture 71" descr="D:\Trabalhos\KF\Tabelas Excel\img 2008\6020.jp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2425" y="48524795"/>
          <a:ext cx="21196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207</xdr:row>
      <xdr:rowOff>0</xdr:rowOff>
    </xdr:from>
    <xdr:to>
      <xdr:col>0</xdr:col>
      <xdr:colOff>1387475</xdr:colOff>
      <xdr:row>207</xdr:row>
      <xdr:rowOff>0</xdr:rowOff>
    </xdr:to>
    <xdr:pic>
      <xdr:nvPicPr>
        <xdr:cNvPr id="4" name="Imagem 75" descr="8000.jpg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24795"/>
          <a:ext cx="1358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352425</xdr:colOff>
      <xdr:row>207</xdr:row>
      <xdr:rowOff>0</xdr:rowOff>
    </xdr:from>
    <xdr:to>
      <xdr:col>1</xdr:col>
      <xdr:colOff>271992</xdr:colOff>
      <xdr:row>207</xdr:row>
      <xdr:rowOff>0</xdr:rowOff>
    </xdr:to>
    <xdr:pic>
      <xdr:nvPicPr>
        <xdr:cNvPr id="5" name="Picture 71" descr="D:\Trabalhos\KF\Tabelas Excel\img 2008\6020.jp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2425" y="48524795"/>
          <a:ext cx="21196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3453342</xdr:colOff>
      <xdr:row>34</xdr:row>
      <xdr:rowOff>179917</xdr:rowOff>
    </xdr:from>
    <xdr:to>
      <xdr:col>6</xdr:col>
      <xdr:colOff>303742</xdr:colOff>
      <xdr:row>34</xdr:row>
      <xdr:rowOff>179917</xdr:rowOff>
    </xdr:to>
    <xdr:pic>
      <xdr:nvPicPr>
        <xdr:cNvPr id="6" name="Picture 71" descr="D:\Trabalhos\KF\Tabelas Excel\img 2008\6020.jp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53405" y="7285355"/>
          <a:ext cx="2117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438150</xdr:colOff>
      <xdr:row>39</xdr:row>
      <xdr:rowOff>0</xdr:rowOff>
    </xdr:from>
    <xdr:to>
      <xdr:col>0</xdr:col>
      <xdr:colOff>1158875</xdr:colOff>
      <xdr:row>39</xdr:row>
      <xdr:rowOff>0</xdr:rowOff>
    </xdr:to>
    <xdr:pic>
      <xdr:nvPicPr>
        <xdr:cNvPr id="8" name="Imagem 83" descr="4211.jpg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8150" y="8181975"/>
          <a:ext cx="720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352425</xdr:colOff>
      <xdr:row>39</xdr:row>
      <xdr:rowOff>0</xdr:rowOff>
    </xdr:from>
    <xdr:to>
      <xdr:col>0</xdr:col>
      <xdr:colOff>1501775</xdr:colOff>
      <xdr:row>39</xdr:row>
      <xdr:rowOff>0</xdr:rowOff>
    </xdr:to>
    <xdr:pic>
      <xdr:nvPicPr>
        <xdr:cNvPr id="9" name="Picture 142" descr="D:\Trabalhos\KF\Tabelas Excel\imagens novas\3140.jpg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2425" y="8181975"/>
          <a:ext cx="1149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438150</xdr:colOff>
      <xdr:row>39</xdr:row>
      <xdr:rowOff>0</xdr:rowOff>
    </xdr:from>
    <xdr:to>
      <xdr:col>0</xdr:col>
      <xdr:colOff>1158875</xdr:colOff>
      <xdr:row>39</xdr:row>
      <xdr:rowOff>0</xdr:rowOff>
    </xdr:to>
    <xdr:pic>
      <xdr:nvPicPr>
        <xdr:cNvPr id="10" name="Imagem 83" descr="4211.jpg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8150" y="8181975"/>
          <a:ext cx="720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352425</xdr:colOff>
      <xdr:row>39</xdr:row>
      <xdr:rowOff>0</xdr:rowOff>
    </xdr:from>
    <xdr:to>
      <xdr:col>0</xdr:col>
      <xdr:colOff>1501775</xdr:colOff>
      <xdr:row>39</xdr:row>
      <xdr:rowOff>0</xdr:rowOff>
    </xdr:to>
    <xdr:pic>
      <xdr:nvPicPr>
        <xdr:cNvPr id="11" name="Picture 142" descr="D:\Trabalhos\KF\Tabelas Excel\imagens novas\3140.jpg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2425" y="8181975"/>
          <a:ext cx="1149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438150</xdr:colOff>
      <xdr:row>39</xdr:row>
      <xdr:rowOff>0</xdr:rowOff>
    </xdr:from>
    <xdr:ext cx="723900" cy="0"/>
    <xdr:pic>
      <xdr:nvPicPr>
        <xdr:cNvPr id="12" name="Imagem 83" descr="4211.jpg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8150" y="8181975"/>
          <a:ext cx="723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352425</xdr:colOff>
      <xdr:row>39</xdr:row>
      <xdr:rowOff>0</xdr:rowOff>
    </xdr:from>
    <xdr:ext cx="1152525" cy="0"/>
    <xdr:pic>
      <xdr:nvPicPr>
        <xdr:cNvPr id="13" name="Picture 142" descr="D:\Trabalhos\KF\Tabelas Excel\imagens novas\3140.jpg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2425" y="8181975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438150</xdr:colOff>
      <xdr:row>39</xdr:row>
      <xdr:rowOff>0</xdr:rowOff>
    </xdr:from>
    <xdr:to>
      <xdr:col>0</xdr:col>
      <xdr:colOff>1158875</xdr:colOff>
      <xdr:row>39</xdr:row>
      <xdr:rowOff>0</xdr:rowOff>
    </xdr:to>
    <xdr:pic>
      <xdr:nvPicPr>
        <xdr:cNvPr id="59" name="Imagem 83" descr="4211.jpg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8150" y="8181975"/>
          <a:ext cx="720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228601</xdr:colOff>
      <xdr:row>1</xdr:row>
      <xdr:rowOff>58207</xdr:rowOff>
    </xdr:from>
    <xdr:to>
      <xdr:col>0</xdr:col>
      <xdr:colOff>831851</xdr:colOff>
      <xdr:row>1</xdr:row>
      <xdr:rowOff>382572</xdr:rowOff>
    </xdr:to>
    <xdr:pic>
      <xdr:nvPicPr>
        <xdr:cNvPr id="64" name="Imagem 63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8285"/>
          <a:ext cx="603250" cy="324485"/>
        </a:xfrm>
        <a:prstGeom prst="rect">
          <a:avLst/>
        </a:prstGeom>
      </xdr:spPr>
    </xdr:pic>
    <xdr:clientData/>
  </xdr:twoCellAnchor>
  <xdr:oneCellAnchor>
    <xdr:from>
      <xdr:col>0</xdr:col>
      <xdr:colOff>438150</xdr:colOff>
      <xdr:row>39</xdr:row>
      <xdr:rowOff>0</xdr:rowOff>
    </xdr:from>
    <xdr:ext cx="723900" cy="0"/>
    <xdr:pic>
      <xdr:nvPicPr>
        <xdr:cNvPr id="68" name="Imagem 83" descr="4211.jpg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8150" y="8181975"/>
          <a:ext cx="723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1</xdr:colOff>
      <xdr:row>6</xdr:row>
      <xdr:rowOff>10583</xdr:rowOff>
    </xdr:from>
    <xdr:to>
      <xdr:col>1</xdr:col>
      <xdr:colOff>36808</xdr:colOff>
      <xdr:row>14</xdr:row>
      <xdr:rowOff>7408</xdr:rowOff>
    </xdr:to>
    <xdr:pic>
      <xdr:nvPicPr>
        <xdr:cNvPr id="14" name="Imagem 13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43660"/>
          <a:ext cx="2236470" cy="1663700"/>
        </a:xfrm>
        <a:prstGeom prst="rect">
          <a:avLst/>
        </a:prstGeom>
      </xdr:spPr>
    </xdr:pic>
    <xdr:clientData/>
  </xdr:twoCellAnchor>
  <xdr:twoCellAnchor editAs="oneCell">
    <xdr:from>
      <xdr:col>0</xdr:col>
      <xdr:colOff>75968</xdr:colOff>
      <xdr:row>23</xdr:row>
      <xdr:rowOff>116417</xdr:rowOff>
    </xdr:from>
    <xdr:to>
      <xdr:col>0</xdr:col>
      <xdr:colOff>2116668</xdr:colOff>
      <xdr:row>31</xdr:row>
      <xdr:rowOff>28576</xdr:rowOff>
    </xdr:to>
    <xdr:pic>
      <xdr:nvPicPr>
        <xdr:cNvPr id="19" name="Imagem 18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65" y="5002530"/>
          <a:ext cx="2040890" cy="1522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Concurso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B78"/>
  <sheetViews>
    <sheetView tabSelected="1" view="pageBreakPreview" zoomScale="90" zoomScaleNormal="100" showWhiteSpace="0" workbookViewId="0">
      <selection activeCell="B13" sqref="B13"/>
    </sheetView>
  </sheetViews>
  <sheetFormatPr defaultColWidth="8.85714285714286" defaultRowHeight="12.75"/>
  <cols>
    <col min="1" max="1" width="33" customWidth="1"/>
    <col min="2" max="2" width="54.5714285714286" style="5" customWidth="1"/>
    <col min="3" max="3" width="6.85714285714286" style="5" customWidth="1"/>
    <col min="4" max="4" width="5.85714285714286" style="6" customWidth="1"/>
    <col min="5" max="6" width="5.85714285714286" style="7" customWidth="1"/>
    <col min="7" max="7" width="5.71428571428571" style="7" customWidth="1"/>
    <col min="8" max="8" width="11.8571428571429" style="7" customWidth="1"/>
    <col min="9" max="9" width="11.4285714285714" style="7" customWidth="1"/>
    <col min="10" max="10" width="12" customWidth="1"/>
    <col min="11" max="12" width="11.4285714285714" customWidth="1"/>
    <col min="13" max="13" width="11.1428571428571" customWidth="1"/>
    <col min="14" max="14" width="11.2857142857143" customWidth="1"/>
    <col min="15" max="15" width="11.5714285714286" style="8" customWidth="1"/>
  </cols>
  <sheetData>
    <row r="1" ht="15" customHeight="1" spans="1:15">
      <c r="A1" s="9" t="s">
        <v>0</v>
      </c>
      <c r="D1" s="10"/>
      <c r="E1" s="49"/>
      <c r="F1" s="49"/>
      <c r="G1" s="49"/>
      <c r="H1" s="49"/>
      <c r="I1" s="49"/>
      <c r="J1" s="80"/>
      <c r="K1" s="80"/>
      <c r="L1" s="80"/>
      <c r="M1" s="80"/>
      <c r="N1" s="80"/>
      <c r="O1" s="94"/>
    </row>
    <row r="2" ht="30.75" spans="1:15">
      <c r="A2" s="11"/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95">
        <v>46113</v>
      </c>
      <c r="N2" s="96"/>
      <c r="O2" s="96"/>
    </row>
    <row r="3" ht="11.25" customHeight="1" spans="1:15">
      <c r="A3" s="11"/>
      <c r="B3" s="13"/>
      <c r="C3" s="11"/>
      <c r="D3" s="11"/>
      <c r="E3" s="11"/>
      <c r="F3" s="11"/>
      <c r="G3" s="11"/>
      <c r="H3" s="11"/>
      <c r="I3" s="11"/>
      <c r="J3" s="11"/>
      <c r="K3" s="11"/>
      <c r="L3" s="11"/>
      <c r="M3" s="96"/>
      <c r="N3" s="96"/>
      <c r="O3" s="96"/>
    </row>
    <row r="4" s="1" customFormat="1" ht="17.25" customHeight="1" spans="1:15">
      <c r="A4" s="14" t="s">
        <v>2</v>
      </c>
      <c r="B4" s="15" t="s">
        <v>3</v>
      </c>
      <c r="C4" s="15" t="s">
        <v>4</v>
      </c>
      <c r="D4" s="16" t="s">
        <v>5</v>
      </c>
      <c r="E4" s="15" t="s">
        <v>6</v>
      </c>
      <c r="F4" s="15" t="s">
        <v>7</v>
      </c>
      <c r="G4" s="15" t="s">
        <v>8</v>
      </c>
      <c r="H4" s="50" t="s">
        <v>9</v>
      </c>
      <c r="I4" s="50" t="s">
        <v>10</v>
      </c>
      <c r="J4" s="15">
        <v>7000</v>
      </c>
      <c r="K4" s="15">
        <v>6000</v>
      </c>
      <c r="L4" s="15">
        <v>5000</v>
      </c>
      <c r="M4" s="15">
        <v>4000</v>
      </c>
      <c r="N4" s="97">
        <v>3000</v>
      </c>
      <c r="O4" s="98">
        <v>2000</v>
      </c>
    </row>
    <row r="5" s="2" customFormat="1" ht="15.75" customHeight="1" spans="1:15">
      <c r="A5" s="17" t="s">
        <v>11</v>
      </c>
      <c r="B5" s="18" t="s">
        <v>12</v>
      </c>
      <c r="C5" s="19">
        <f t="shared" ref="C5:C19" si="0">D5*E5*F5</f>
        <v>1.21275</v>
      </c>
      <c r="D5" s="20">
        <v>1.05</v>
      </c>
      <c r="E5" s="19">
        <v>1.05</v>
      </c>
      <c r="F5" s="19">
        <v>1.1</v>
      </c>
      <c r="G5" s="51">
        <v>1.6</v>
      </c>
      <c r="H5" s="52">
        <f t="shared" ref="H5:O6" si="1">H6-(H6*0.08)</f>
        <v>4098.2688</v>
      </c>
      <c r="I5" s="52">
        <f t="shared" si="1"/>
        <v>3036.0368</v>
      </c>
      <c r="J5" s="81">
        <f t="shared" si="1"/>
        <v>1785.904</v>
      </c>
      <c r="K5" s="81">
        <f t="shared" si="1"/>
        <v>1686.0288</v>
      </c>
      <c r="L5" s="81">
        <f t="shared" si="1"/>
        <v>1605.6208</v>
      </c>
      <c r="M5" s="81">
        <f t="shared" si="1"/>
        <v>1528.5984</v>
      </c>
      <c r="N5" s="81">
        <f t="shared" si="1"/>
        <v>1455.808</v>
      </c>
      <c r="O5" s="99">
        <f t="shared" si="1"/>
        <v>1399.9456</v>
      </c>
    </row>
    <row r="6" s="2" customFormat="1" ht="15" customHeight="1" spans="1:15">
      <c r="A6" s="21"/>
      <c r="B6" s="18" t="s">
        <v>13</v>
      </c>
      <c r="C6" s="22">
        <f t="shared" si="0"/>
        <v>1.32825</v>
      </c>
      <c r="D6" s="20">
        <v>1.15</v>
      </c>
      <c r="E6" s="19">
        <v>1.05</v>
      </c>
      <c r="F6" s="19">
        <v>1.1</v>
      </c>
      <c r="G6" s="53">
        <v>1.6</v>
      </c>
      <c r="H6" s="52">
        <f t="shared" si="1"/>
        <v>4454.64</v>
      </c>
      <c r="I6" s="52">
        <f t="shared" si="1"/>
        <v>3300.04</v>
      </c>
      <c r="J6" s="82">
        <f>J7-(J7*0.08)</f>
        <v>1941.2</v>
      </c>
      <c r="K6" s="82">
        <f t="shared" si="1"/>
        <v>1832.64</v>
      </c>
      <c r="L6" s="82">
        <f t="shared" si="1"/>
        <v>1745.24</v>
      </c>
      <c r="M6" s="82">
        <f t="shared" si="1"/>
        <v>1661.52</v>
      </c>
      <c r="N6" s="82">
        <f t="shared" si="1"/>
        <v>1582.4</v>
      </c>
      <c r="O6" s="99">
        <f t="shared" si="1"/>
        <v>1521.68</v>
      </c>
    </row>
    <row r="7" s="2" customFormat="1" ht="15" customHeight="1" spans="1:15">
      <c r="A7" s="21"/>
      <c r="B7" s="23" t="s">
        <v>14</v>
      </c>
      <c r="C7" s="24">
        <f t="shared" si="0"/>
        <v>1.44375</v>
      </c>
      <c r="D7" s="25">
        <v>1.25</v>
      </c>
      <c r="E7" s="24">
        <v>1.05</v>
      </c>
      <c r="F7" s="24">
        <v>1.1</v>
      </c>
      <c r="G7" s="54">
        <v>1.6</v>
      </c>
      <c r="H7" s="52">
        <v>4842</v>
      </c>
      <c r="I7" s="52">
        <v>3587</v>
      </c>
      <c r="J7" s="81">
        <v>2110</v>
      </c>
      <c r="K7" s="81">
        <v>1992</v>
      </c>
      <c r="L7" s="81">
        <v>1897</v>
      </c>
      <c r="M7" s="81">
        <v>1806</v>
      </c>
      <c r="N7" s="81">
        <v>1720</v>
      </c>
      <c r="O7" s="99">
        <v>1654</v>
      </c>
    </row>
    <row r="8" s="2" customFormat="1" ht="18" customHeight="1" spans="1:15">
      <c r="A8" s="21"/>
      <c r="B8" s="18" t="s">
        <v>15</v>
      </c>
      <c r="C8" s="26">
        <f t="shared" si="0"/>
        <v>1.55925</v>
      </c>
      <c r="D8" s="20">
        <v>1.35</v>
      </c>
      <c r="E8" s="19">
        <v>1.05</v>
      </c>
      <c r="F8" s="19">
        <v>1.1</v>
      </c>
      <c r="G8" s="53">
        <v>1.6</v>
      </c>
      <c r="H8" s="52">
        <v>5327</v>
      </c>
      <c r="I8" s="52">
        <v>3946</v>
      </c>
      <c r="J8" s="81">
        <f t="shared" ref="I8:O9" si="2">J7*1.1</f>
        <v>2321</v>
      </c>
      <c r="K8" s="81">
        <f t="shared" si="2"/>
        <v>2191.2</v>
      </c>
      <c r="L8" s="81">
        <f t="shared" si="2"/>
        <v>2086.7</v>
      </c>
      <c r="M8" s="81">
        <f t="shared" si="2"/>
        <v>1986.6</v>
      </c>
      <c r="N8" s="81">
        <f t="shared" si="2"/>
        <v>1892</v>
      </c>
      <c r="O8" s="99">
        <f t="shared" si="2"/>
        <v>1819.4</v>
      </c>
    </row>
    <row r="9" s="2" customFormat="1" ht="17.25" customHeight="1" spans="1:15">
      <c r="A9" s="21"/>
      <c r="B9" s="27" t="s">
        <v>16</v>
      </c>
      <c r="C9" s="28">
        <f t="shared" si="0"/>
        <v>1.67475</v>
      </c>
      <c r="D9" s="29">
        <v>1.45</v>
      </c>
      <c r="E9" s="55">
        <v>1.05</v>
      </c>
      <c r="F9" s="55">
        <v>1.1</v>
      </c>
      <c r="G9" s="56">
        <v>1.6</v>
      </c>
      <c r="H9" s="57">
        <f>H8*1.1</f>
        <v>5859.7</v>
      </c>
      <c r="I9" s="57">
        <f t="shared" si="2"/>
        <v>4340.6</v>
      </c>
      <c r="J9" s="83">
        <f t="shared" si="2"/>
        <v>2553.1</v>
      </c>
      <c r="K9" s="83">
        <f t="shared" si="2"/>
        <v>2410.32</v>
      </c>
      <c r="L9" s="83">
        <f t="shared" si="2"/>
        <v>2295.37</v>
      </c>
      <c r="M9" s="83">
        <f t="shared" si="2"/>
        <v>2185.26</v>
      </c>
      <c r="N9" s="83">
        <f t="shared" si="2"/>
        <v>2081.2</v>
      </c>
      <c r="O9" s="100">
        <f t="shared" si="2"/>
        <v>2001.34</v>
      </c>
    </row>
    <row r="10" s="2" customFormat="1" ht="15.75" customHeight="1" spans="1:15">
      <c r="A10" s="21"/>
      <c r="B10" s="18" t="s">
        <v>17</v>
      </c>
      <c r="C10" s="19">
        <f t="shared" ref="C10:C14" si="3">D10*E10*F10</f>
        <v>0.924</v>
      </c>
      <c r="D10" s="20">
        <v>0.8</v>
      </c>
      <c r="E10" s="19">
        <v>1.05</v>
      </c>
      <c r="F10" s="19">
        <v>1.1</v>
      </c>
      <c r="G10" s="51">
        <v>1.6</v>
      </c>
      <c r="H10" s="52">
        <f t="shared" ref="H10:O11" si="4">H11-(H11*0.08)</f>
        <v>3702.1536</v>
      </c>
      <c r="I10" s="52">
        <f t="shared" si="4"/>
        <v>2742.336</v>
      </c>
      <c r="J10" s="81">
        <f t="shared" si="4"/>
        <v>1613.2384</v>
      </c>
      <c r="K10" s="81">
        <f t="shared" si="4"/>
        <v>1522.6736</v>
      </c>
      <c r="L10" s="81">
        <f t="shared" si="4"/>
        <v>1450.7296</v>
      </c>
      <c r="M10" s="81">
        <f t="shared" si="4"/>
        <v>1380.4784</v>
      </c>
      <c r="N10" s="81">
        <f t="shared" si="4"/>
        <v>1315.3056</v>
      </c>
      <c r="O10" s="99">
        <f t="shared" si="4"/>
        <v>1264.5216</v>
      </c>
    </row>
    <row r="11" s="2" customFormat="1" ht="15" customHeight="1" spans="1:15">
      <c r="A11" s="21"/>
      <c r="B11" s="18" t="s">
        <v>18</v>
      </c>
      <c r="C11" s="22">
        <f t="shared" si="3"/>
        <v>1.0395</v>
      </c>
      <c r="D11" s="20">
        <v>0.9</v>
      </c>
      <c r="E11" s="19">
        <v>1.05</v>
      </c>
      <c r="F11" s="19">
        <v>1.1</v>
      </c>
      <c r="G11" s="53">
        <v>1.6</v>
      </c>
      <c r="H11" s="52">
        <f t="shared" si="4"/>
        <v>4024.08</v>
      </c>
      <c r="I11" s="52">
        <f t="shared" si="4"/>
        <v>2980.8</v>
      </c>
      <c r="J11" s="82">
        <f>J12-(J12*0.08)</f>
        <v>1753.52</v>
      </c>
      <c r="K11" s="82">
        <f t="shared" si="4"/>
        <v>1655.08</v>
      </c>
      <c r="L11" s="82">
        <f t="shared" si="4"/>
        <v>1576.88</v>
      </c>
      <c r="M11" s="82">
        <f t="shared" si="4"/>
        <v>1500.52</v>
      </c>
      <c r="N11" s="82">
        <f t="shared" si="4"/>
        <v>1429.68</v>
      </c>
      <c r="O11" s="99">
        <f t="shared" si="4"/>
        <v>1374.48</v>
      </c>
    </row>
    <row r="12" s="2" customFormat="1" ht="15" customHeight="1" spans="1:15">
      <c r="A12" s="21"/>
      <c r="B12" s="23" t="s">
        <v>19</v>
      </c>
      <c r="C12" s="24">
        <f t="shared" si="3"/>
        <v>1.155</v>
      </c>
      <c r="D12" s="25">
        <v>1</v>
      </c>
      <c r="E12" s="24">
        <v>1.05</v>
      </c>
      <c r="F12" s="24">
        <v>1.1</v>
      </c>
      <c r="G12" s="54">
        <v>1.6</v>
      </c>
      <c r="H12" s="52">
        <v>4374</v>
      </c>
      <c r="I12" s="52">
        <v>3240</v>
      </c>
      <c r="J12" s="81">
        <v>1906</v>
      </c>
      <c r="K12" s="81">
        <v>1799</v>
      </c>
      <c r="L12" s="81">
        <v>1714</v>
      </c>
      <c r="M12" s="81">
        <v>1631</v>
      </c>
      <c r="N12" s="81">
        <v>1554</v>
      </c>
      <c r="O12" s="99">
        <v>1494</v>
      </c>
    </row>
    <row r="13" s="2" customFormat="1" ht="18" customHeight="1" spans="1:15">
      <c r="A13" s="21"/>
      <c r="B13" s="18" t="s">
        <v>20</v>
      </c>
      <c r="C13" s="26">
        <f t="shared" si="3"/>
        <v>1.2705</v>
      </c>
      <c r="D13" s="20">
        <v>1.1</v>
      </c>
      <c r="E13" s="19">
        <v>1.05</v>
      </c>
      <c r="F13" s="19">
        <v>1.1</v>
      </c>
      <c r="G13" s="53">
        <v>1.6</v>
      </c>
      <c r="H13" s="52">
        <v>4822</v>
      </c>
      <c r="I13" s="52">
        <v>3566</v>
      </c>
      <c r="J13" s="81">
        <f t="shared" ref="I13:N14" si="5">J12*1.1</f>
        <v>2096.6</v>
      </c>
      <c r="K13" s="81">
        <f t="shared" si="5"/>
        <v>1978.9</v>
      </c>
      <c r="L13" s="81">
        <f t="shared" si="5"/>
        <v>1885.4</v>
      </c>
      <c r="M13" s="81">
        <f t="shared" si="5"/>
        <v>1794.1</v>
      </c>
      <c r="N13" s="81">
        <f t="shared" si="5"/>
        <v>1709.4</v>
      </c>
      <c r="O13" s="99">
        <f>O12*1.1</f>
        <v>1643.4</v>
      </c>
    </row>
    <row r="14" s="2" customFormat="1" ht="17.25" customHeight="1" spans="1:15">
      <c r="A14" s="21"/>
      <c r="B14" s="27" t="s">
        <v>21</v>
      </c>
      <c r="C14" s="28">
        <f t="shared" si="3"/>
        <v>1.386</v>
      </c>
      <c r="D14" s="29">
        <v>1.2</v>
      </c>
      <c r="E14" s="55">
        <v>1.05</v>
      </c>
      <c r="F14" s="55">
        <v>1.1</v>
      </c>
      <c r="G14" s="56">
        <v>1.6</v>
      </c>
      <c r="H14" s="57">
        <f>H13*1.1</f>
        <v>5304.2</v>
      </c>
      <c r="I14" s="57">
        <f t="shared" si="5"/>
        <v>3922.6</v>
      </c>
      <c r="J14" s="83">
        <f t="shared" si="5"/>
        <v>2306.26</v>
      </c>
      <c r="K14" s="83">
        <f t="shared" si="5"/>
        <v>2176.79</v>
      </c>
      <c r="L14" s="83">
        <f t="shared" si="5"/>
        <v>2073.94</v>
      </c>
      <c r="M14" s="83">
        <f t="shared" si="5"/>
        <v>1973.51</v>
      </c>
      <c r="N14" s="83">
        <f t="shared" si="5"/>
        <v>1880.34</v>
      </c>
      <c r="O14" s="100">
        <f>O13*1.1</f>
        <v>1807.74</v>
      </c>
    </row>
    <row r="15" s="3" customFormat="1" ht="21" customHeight="1" spans="1:15">
      <c r="A15" s="21"/>
      <c r="B15" s="30" t="s">
        <v>22</v>
      </c>
      <c r="C15" s="31">
        <f t="shared" si="0"/>
        <v>2.53575</v>
      </c>
      <c r="D15" s="32">
        <v>1.15</v>
      </c>
      <c r="E15" s="31">
        <v>1.05</v>
      </c>
      <c r="F15" s="58">
        <v>2.1</v>
      </c>
      <c r="G15" s="31"/>
      <c r="H15" s="59">
        <v>5997</v>
      </c>
      <c r="I15" s="59">
        <v>4410</v>
      </c>
      <c r="J15" s="84">
        <v>2594</v>
      </c>
      <c r="K15" s="84">
        <v>2446</v>
      </c>
      <c r="L15" s="84">
        <v>2330</v>
      </c>
      <c r="M15" s="84">
        <v>2219</v>
      </c>
      <c r="N15" s="101">
        <v>2134</v>
      </c>
      <c r="O15" s="102">
        <v>2052</v>
      </c>
    </row>
    <row r="16" s="2" customFormat="1" ht="15.75" customHeight="1" spans="1:15">
      <c r="A16" s="21"/>
      <c r="B16" s="18" t="s">
        <v>23</v>
      </c>
      <c r="C16" s="19">
        <f t="shared" si="0"/>
        <v>7.14</v>
      </c>
      <c r="D16" s="20">
        <v>3.4</v>
      </c>
      <c r="E16" s="19">
        <v>1.05</v>
      </c>
      <c r="F16" s="51">
        <v>2</v>
      </c>
      <c r="G16" s="51"/>
      <c r="H16" s="52">
        <f>H17-(H17*0.02)</f>
        <v>14908.74</v>
      </c>
      <c r="I16" s="52">
        <f t="shared" ref="I16:O16" si="6">I17-(I17*0.02)</f>
        <v>11012.26</v>
      </c>
      <c r="J16" s="81">
        <f t="shared" si="6"/>
        <v>6477.8</v>
      </c>
      <c r="K16" s="81">
        <f t="shared" si="6"/>
        <v>6112.26</v>
      </c>
      <c r="L16" s="81">
        <f t="shared" si="6"/>
        <v>5822.18</v>
      </c>
      <c r="M16" s="81">
        <f t="shared" si="6"/>
        <v>5542.88</v>
      </c>
      <c r="N16" s="81">
        <f t="shared" si="6"/>
        <v>5299.84</v>
      </c>
      <c r="O16" s="99">
        <f t="shared" si="6"/>
        <v>5096</v>
      </c>
    </row>
    <row r="17" s="2" customFormat="1" ht="15" customHeight="1" spans="1:15">
      <c r="A17" s="21"/>
      <c r="B17" s="33" t="s">
        <v>24</v>
      </c>
      <c r="C17" s="34">
        <f t="shared" si="0"/>
        <v>7.497</v>
      </c>
      <c r="D17" s="35">
        <v>3.4</v>
      </c>
      <c r="E17" s="34">
        <v>1.05</v>
      </c>
      <c r="F17" s="60">
        <v>2.1</v>
      </c>
      <c r="G17" s="60"/>
      <c r="H17" s="61">
        <v>15213</v>
      </c>
      <c r="I17" s="61">
        <v>11237</v>
      </c>
      <c r="J17" s="61">
        <v>6610</v>
      </c>
      <c r="K17" s="61">
        <v>6237</v>
      </c>
      <c r="L17" s="61">
        <v>5941</v>
      </c>
      <c r="M17" s="61">
        <v>5656</v>
      </c>
      <c r="N17" s="61">
        <v>5408</v>
      </c>
      <c r="O17" s="61">
        <v>5200</v>
      </c>
    </row>
    <row r="18" s="2" customFormat="1" ht="15" customHeight="1" spans="1:15">
      <c r="A18" s="21"/>
      <c r="B18" s="23" t="s">
        <v>25</v>
      </c>
      <c r="C18" s="24">
        <f t="shared" si="0"/>
        <v>7.854</v>
      </c>
      <c r="D18" s="25">
        <v>3.4</v>
      </c>
      <c r="E18" s="24">
        <v>1.05</v>
      </c>
      <c r="F18" s="54">
        <v>2.2</v>
      </c>
      <c r="G18" s="54"/>
      <c r="H18" s="52">
        <f>H17*1.04</f>
        <v>15821.52</v>
      </c>
      <c r="I18" s="52">
        <f t="shared" ref="I18:O19" si="7">I17*1.04</f>
        <v>11686.48</v>
      </c>
      <c r="J18" s="81">
        <f t="shared" si="7"/>
        <v>6874.4</v>
      </c>
      <c r="K18" s="81">
        <f t="shared" si="7"/>
        <v>6486.48</v>
      </c>
      <c r="L18" s="81">
        <f t="shared" si="7"/>
        <v>6178.64</v>
      </c>
      <c r="M18" s="81">
        <f t="shared" si="7"/>
        <v>5882.24</v>
      </c>
      <c r="N18" s="81">
        <f t="shared" si="7"/>
        <v>5624.32</v>
      </c>
      <c r="O18" s="99">
        <f t="shared" si="7"/>
        <v>5408</v>
      </c>
    </row>
    <row r="19" s="2" customFormat="1" ht="18" customHeight="1" spans="1:15">
      <c r="A19" s="21"/>
      <c r="B19" s="36" t="s">
        <v>26</v>
      </c>
      <c r="C19" s="37">
        <f t="shared" si="0"/>
        <v>8.211</v>
      </c>
      <c r="D19" s="38">
        <v>3.4</v>
      </c>
      <c r="E19" s="62">
        <v>1.05</v>
      </c>
      <c r="F19" s="63">
        <v>2.3</v>
      </c>
      <c r="G19" s="63"/>
      <c r="H19" s="64">
        <f>H18*1.04</f>
        <v>16454.3808</v>
      </c>
      <c r="I19" s="64">
        <f t="shared" si="7"/>
        <v>12153.9392</v>
      </c>
      <c r="J19" s="79">
        <f t="shared" si="7"/>
        <v>7149.376</v>
      </c>
      <c r="K19" s="79">
        <f t="shared" si="7"/>
        <v>6745.9392</v>
      </c>
      <c r="L19" s="79">
        <f t="shared" si="7"/>
        <v>6425.7856</v>
      </c>
      <c r="M19" s="79">
        <f t="shared" si="7"/>
        <v>6117.5296</v>
      </c>
      <c r="N19" s="79">
        <f t="shared" si="7"/>
        <v>5849.2928</v>
      </c>
      <c r="O19" s="103">
        <f t="shared" si="7"/>
        <v>5624.32</v>
      </c>
    </row>
    <row r="20" s="2" customFormat="1" ht="15.75" customHeight="1" spans="1:15">
      <c r="A20" s="17" t="s">
        <v>27</v>
      </c>
      <c r="B20" s="18" t="s">
        <v>12</v>
      </c>
      <c r="C20" s="19">
        <f t="shared" ref="C20:C29" si="8">D20*E20*F20</f>
        <v>1.155</v>
      </c>
      <c r="D20" s="20">
        <v>1</v>
      </c>
      <c r="E20" s="19">
        <v>1.05</v>
      </c>
      <c r="F20" s="19">
        <v>1.1</v>
      </c>
      <c r="G20" s="65">
        <v>1.5</v>
      </c>
      <c r="H20" s="66">
        <f t="shared" ref="H20:O20" si="9">H21-(H21*0.08)</f>
        <v>4454.64</v>
      </c>
      <c r="I20" s="66">
        <f t="shared" si="9"/>
        <v>3300.04</v>
      </c>
      <c r="J20" s="85">
        <f t="shared" si="9"/>
        <v>1941.2</v>
      </c>
      <c r="K20" s="85">
        <f t="shared" si="9"/>
        <v>1832.64</v>
      </c>
      <c r="L20" s="85">
        <f t="shared" si="9"/>
        <v>1745.24</v>
      </c>
      <c r="M20" s="85">
        <f t="shared" si="9"/>
        <v>1661.52</v>
      </c>
      <c r="N20" s="85">
        <f t="shared" si="9"/>
        <v>1582.4</v>
      </c>
      <c r="O20" s="104">
        <f t="shared" si="9"/>
        <v>1521.68</v>
      </c>
    </row>
    <row r="21" s="2" customFormat="1" ht="15" customHeight="1" spans="1:15">
      <c r="A21" s="21"/>
      <c r="B21" s="23" t="s">
        <v>13</v>
      </c>
      <c r="C21" s="24">
        <f t="shared" si="8"/>
        <v>1.2705</v>
      </c>
      <c r="D21" s="25">
        <v>1.1</v>
      </c>
      <c r="E21" s="24">
        <v>1.05</v>
      </c>
      <c r="F21" s="24">
        <v>1.1</v>
      </c>
      <c r="G21" s="67">
        <v>1.5</v>
      </c>
      <c r="H21" s="68">
        <v>4842</v>
      </c>
      <c r="I21" s="68">
        <v>3587</v>
      </c>
      <c r="J21" s="86">
        <v>2110</v>
      </c>
      <c r="K21" s="86">
        <v>1992</v>
      </c>
      <c r="L21" s="86">
        <v>1897</v>
      </c>
      <c r="M21" s="86">
        <v>1806</v>
      </c>
      <c r="N21" s="86">
        <v>1720</v>
      </c>
      <c r="O21" s="105">
        <v>1654</v>
      </c>
    </row>
    <row r="22" s="2" customFormat="1" ht="15" customHeight="1" spans="1:15">
      <c r="A22" s="21"/>
      <c r="B22" s="18" t="s">
        <v>14</v>
      </c>
      <c r="C22" s="39">
        <f t="shared" si="8"/>
        <v>1.386</v>
      </c>
      <c r="D22" s="20">
        <v>1.2</v>
      </c>
      <c r="E22" s="19">
        <v>1.05</v>
      </c>
      <c r="F22" s="19">
        <v>1.1</v>
      </c>
      <c r="G22" s="69">
        <v>1.5</v>
      </c>
      <c r="H22" s="68">
        <v>5327</v>
      </c>
      <c r="I22" s="87">
        <v>3946</v>
      </c>
      <c r="J22" s="81">
        <v>2321</v>
      </c>
      <c r="K22" s="81">
        <v>2191.2</v>
      </c>
      <c r="L22" s="81">
        <v>2086.7</v>
      </c>
      <c r="M22" s="81">
        <v>1986.6</v>
      </c>
      <c r="N22" s="81">
        <v>1892</v>
      </c>
      <c r="O22" s="99">
        <v>1819.4</v>
      </c>
    </row>
    <row r="23" s="2" customFormat="1" ht="18" customHeight="1" spans="1:15">
      <c r="A23" s="21"/>
      <c r="B23" s="18" t="s">
        <v>28</v>
      </c>
      <c r="C23" s="26">
        <f t="shared" si="8"/>
        <v>1.5015</v>
      </c>
      <c r="D23" s="20">
        <v>1.3</v>
      </c>
      <c r="E23" s="19">
        <v>1.05</v>
      </c>
      <c r="F23" s="19">
        <v>1.1</v>
      </c>
      <c r="G23" s="70">
        <v>1.5</v>
      </c>
      <c r="H23" s="71">
        <v>5327</v>
      </c>
      <c r="I23" s="88">
        <v>3946</v>
      </c>
      <c r="J23" s="81">
        <f t="shared" ref="J23:O23" si="10">J22*1.1</f>
        <v>2553.1</v>
      </c>
      <c r="K23" s="81">
        <f t="shared" si="10"/>
        <v>2410.32</v>
      </c>
      <c r="L23" s="81">
        <f t="shared" si="10"/>
        <v>2295.37</v>
      </c>
      <c r="M23" s="81">
        <f t="shared" si="10"/>
        <v>2185.26</v>
      </c>
      <c r="N23" s="81">
        <f t="shared" si="10"/>
        <v>2081.2</v>
      </c>
      <c r="O23" s="99">
        <f t="shared" si="10"/>
        <v>2001.34</v>
      </c>
    </row>
    <row r="24" s="2" customFormat="1" ht="17.25" customHeight="1" spans="1:15">
      <c r="A24" s="21"/>
      <c r="B24" s="27" t="s">
        <v>16</v>
      </c>
      <c r="C24" s="28">
        <f t="shared" si="8"/>
        <v>1.617</v>
      </c>
      <c r="D24" s="29">
        <v>1.4</v>
      </c>
      <c r="E24" s="55">
        <v>1.05</v>
      </c>
      <c r="F24" s="55">
        <v>1.1</v>
      </c>
      <c r="G24" s="56">
        <v>1.5</v>
      </c>
      <c r="H24" s="57">
        <f>H23*1.1</f>
        <v>5859.7</v>
      </c>
      <c r="I24" s="78">
        <f t="shared" ref="I24:O24" si="11">I23*1.1</f>
        <v>4340.6</v>
      </c>
      <c r="J24" s="89">
        <f t="shared" si="11"/>
        <v>2808.41</v>
      </c>
      <c r="K24" s="89">
        <f t="shared" si="11"/>
        <v>2651.352</v>
      </c>
      <c r="L24" s="89">
        <f t="shared" si="11"/>
        <v>2524.907</v>
      </c>
      <c r="M24" s="89">
        <f t="shared" si="11"/>
        <v>2403.786</v>
      </c>
      <c r="N24" s="89">
        <f t="shared" si="11"/>
        <v>2289.32</v>
      </c>
      <c r="O24" s="106">
        <f t="shared" si="11"/>
        <v>2201.474</v>
      </c>
    </row>
    <row r="25" s="2" customFormat="1" ht="15.75" customHeight="1" spans="1:15">
      <c r="A25" s="21"/>
      <c r="B25" s="18" t="s">
        <v>17</v>
      </c>
      <c r="C25" s="19">
        <f t="shared" si="8"/>
        <v>0.924</v>
      </c>
      <c r="D25" s="20">
        <v>0.8</v>
      </c>
      <c r="E25" s="19">
        <v>1.05</v>
      </c>
      <c r="F25" s="19">
        <v>1.1</v>
      </c>
      <c r="G25" s="51">
        <v>1.5</v>
      </c>
      <c r="H25" s="52">
        <f t="shared" ref="H25:O25" si="12">H26-(H26*0.08)</f>
        <v>4024.08</v>
      </c>
      <c r="I25" s="52">
        <f t="shared" si="12"/>
        <v>2980.8</v>
      </c>
      <c r="J25" s="81">
        <f t="shared" si="12"/>
        <v>1753.52</v>
      </c>
      <c r="K25" s="81">
        <f t="shared" si="12"/>
        <v>1655.08</v>
      </c>
      <c r="L25" s="81">
        <f t="shared" si="12"/>
        <v>1576.88</v>
      </c>
      <c r="M25" s="81">
        <f t="shared" si="12"/>
        <v>1500.52</v>
      </c>
      <c r="N25" s="81">
        <f t="shared" si="12"/>
        <v>1429.68</v>
      </c>
      <c r="O25" s="99">
        <f t="shared" si="12"/>
        <v>1374.48</v>
      </c>
    </row>
    <row r="26" s="2" customFormat="1" ht="15" customHeight="1" spans="1:15">
      <c r="A26" s="21"/>
      <c r="B26" s="23" t="s">
        <v>18</v>
      </c>
      <c r="C26" s="24">
        <f t="shared" si="8"/>
        <v>1.0395</v>
      </c>
      <c r="D26" s="25">
        <v>0.9</v>
      </c>
      <c r="E26" s="24">
        <v>1.05</v>
      </c>
      <c r="F26" s="24">
        <v>1.1</v>
      </c>
      <c r="G26" s="54">
        <v>1.5</v>
      </c>
      <c r="H26" s="52">
        <v>4374</v>
      </c>
      <c r="I26" s="52">
        <v>3240</v>
      </c>
      <c r="J26" s="81">
        <v>1906</v>
      </c>
      <c r="K26" s="81">
        <v>1799</v>
      </c>
      <c r="L26" s="81">
        <v>1714</v>
      </c>
      <c r="M26" s="81">
        <v>1631</v>
      </c>
      <c r="N26" s="81">
        <v>1554</v>
      </c>
      <c r="O26" s="99">
        <v>1494</v>
      </c>
    </row>
    <row r="27" s="2" customFormat="1" ht="15" customHeight="1" spans="1:15">
      <c r="A27" s="21"/>
      <c r="B27" s="18" t="s">
        <v>19</v>
      </c>
      <c r="C27" s="39">
        <f t="shared" si="8"/>
        <v>1.155</v>
      </c>
      <c r="D27" s="20">
        <v>1</v>
      </c>
      <c r="E27" s="19">
        <v>1.05</v>
      </c>
      <c r="F27" s="19">
        <v>1.1</v>
      </c>
      <c r="G27" s="51">
        <v>1.5</v>
      </c>
      <c r="H27" s="52">
        <v>4822</v>
      </c>
      <c r="I27" s="52">
        <v>3566</v>
      </c>
      <c r="J27" s="81">
        <v>2096.6</v>
      </c>
      <c r="K27" s="81">
        <v>1978.9</v>
      </c>
      <c r="L27" s="81">
        <v>1885.4</v>
      </c>
      <c r="M27" s="81">
        <v>1794.1</v>
      </c>
      <c r="N27" s="81">
        <v>1709.4</v>
      </c>
      <c r="O27" s="99">
        <v>1643.4</v>
      </c>
    </row>
    <row r="28" s="2" customFormat="1" ht="18" customHeight="1" spans="1:15">
      <c r="A28" s="21"/>
      <c r="B28" s="18" t="s">
        <v>20</v>
      </c>
      <c r="C28" s="26">
        <f t="shared" si="8"/>
        <v>1.2705</v>
      </c>
      <c r="D28" s="20">
        <v>1.1</v>
      </c>
      <c r="E28" s="19">
        <v>1.05</v>
      </c>
      <c r="F28" s="19">
        <v>1.1</v>
      </c>
      <c r="G28" s="53">
        <v>1.5</v>
      </c>
      <c r="H28" s="52">
        <v>4822</v>
      </c>
      <c r="I28" s="52">
        <v>3566</v>
      </c>
      <c r="J28" s="81">
        <f t="shared" ref="J28:O28" si="13">J27*1.1</f>
        <v>2306.26</v>
      </c>
      <c r="K28" s="81">
        <f t="shared" si="13"/>
        <v>2176.79</v>
      </c>
      <c r="L28" s="81">
        <f t="shared" si="13"/>
        <v>2073.94</v>
      </c>
      <c r="M28" s="81">
        <f t="shared" si="13"/>
        <v>1973.51</v>
      </c>
      <c r="N28" s="81">
        <f t="shared" si="13"/>
        <v>1880.34</v>
      </c>
      <c r="O28" s="99">
        <f t="shared" si="13"/>
        <v>1807.74</v>
      </c>
    </row>
    <row r="29" s="2" customFormat="1" ht="17.25" customHeight="1" spans="1:15">
      <c r="A29" s="21"/>
      <c r="B29" s="27" t="s">
        <v>21</v>
      </c>
      <c r="C29" s="28">
        <f t="shared" si="8"/>
        <v>1.386</v>
      </c>
      <c r="D29" s="29">
        <v>1.2</v>
      </c>
      <c r="E29" s="55">
        <v>1.05</v>
      </c>
      <c r="F29" s="55">
        <v>1.1</v>
      </c>
      <c r="G29" s="56">
        <v>1.5</v>
      </c>
      <c r="H29" s="57">
        <f>H28*1.1</f>
        <v>5304.2</v>
      </c>
      <c r="I29" s="57">
        <f t="shared" ref="I29:O29" si="14">I28*1.1</f>
        <v>3922.6</v>
      </c>
      <c r="J29" s="83">
        <f t="shared" si="14"/>
        <v>2536.886</v>
      </c>
      <c r="K29" s="83">
        <f t="shared" si="14"/>
        <v>2394.469</v>
      </c>
      <c r="L29" s="83">
        <f t="shared" si="14"/>
        <v>2281.334</v>
      </c>
      <c r="M29" s="83">
        <f t="shared" si="14"/>
        <v>2170.861</v>
      </c>
      <c r="N29" s="83">
        <f t="shared" si="14"/>
        <v>2068.374</v>
      </c>
      <c r="O29" s="100">
        <f t="shared" si="14"/>
        <v>1988.514</v>
      </c>
    </row>
    <row r="30" s="4" customFormat="1" ht="13.5" customHeight="1" spans="1:15">
      <c r="A30" s="21"/>
      <c r="B30" s="40" t="s">
        <v>29</v>
      </c>
      <c r="C30" s="41">
        <f t="shared" ref="C30:C34" si="15">D30*E30*F30</f>
        <v>1.386</v>
      </c>
      <c r="D30" s="42">
        <v>1.2</v>
      </c>
      <c r="E30" s="72">
        <v>1.05</v>
      </c>
      <c r="F30" s="72">
        <v>1.1</v>
      </c>
      <c r="G30" s="72"/>
      <c r="H30" s="73">
        <f>H31-(H31*0.08)</f>
        <v>3350.64</v>
      </c>
      <c r="I30" s="73">
        <f t="shared" ref="I30:O30" si="16">I31-(I31*0.08)</f>
        <v>2481.24</v>
      </c>
      <c r="J30" s="90">
        <f t="shared" si="16"/>
        <v>1460.04</v>
      </c>
      <c r="K30" s="90">
        <f t="shared" si="16"/>
        <v>1470.16</v>
      </c>
      <c r="L30" s="90">
        <f t="shared" si="16"/>
        <v>1303.64</v>
      </c>
      <c r="M30" s="90">
        <f t="shared" si="16"/>
        <v>1237.4</v>
      </c>
      <c r="N30" s="90">
        <f t="shared" si="16"/>
        <v>1179.44</v>
      </c>
      <c r="O30" s="105">
        <f t="shared" si="16"/>
        <v>1133.44</v>
      </c>
    </row>
    <row r="31" s="4" customFormat="1" ht="15" customHeight="1" spans="1:15">
      <c r="A31" s="21"/>
      <c r="B31" s="40" t="s">
        <v>30</v>
      </c>
      <c r="C31" s="41">
        <f t="shared" si="15"/>
        <v>1.5015</v>
      </c>
      <c r="D31" s="43">
        <v>1.3</v>
      </c>
      <c r="E31" s="41">
        <v>1.05</v>
      </c>
      <c r="F31" s="41">
        <v>1.1</v>
      </c>
      <c r="G31" s="74"/>
      <c r="H31" s="52">
        <v>3642</v>
      </c>
      <c r="I31" s="52">
        <v>2697</v>
      </c>
      <c r="J31" s="81">
        <v>1587</v>
      </c>
      <c r="K31" s="81">
        <v>1598</v>
      </c>
      <c r="L31" s="81">
        <v>1417</v>
      </c>
      <c r="M31" s="81">
        <v>1345</v>
      </c>
      <c r="N31" s="81">
        <v>1282</v>
      </c>
      <c r="O31" s="99">
        <v>1232</v>
      </c>
    </row>
    <row r="32" s="4" customFormat="1" ht="15" customHeight="1" spans="1:15">
      <c r="A32" s="21"/>
      <c r="B32" s="40" t="s">
        <v>31</v>
      </c>
      <c r="C32" s="41">
        <f t="shared" si="15"/>
        <v>1.617</v>
      </c>
      <c r="D32" s="44">
        <v>1.4</v>
      </c>
      <c r="E32" s="75">
        <v>1.05</v>
      </c>
      <c r="F32" s="75">
        <v>1.1</v>
      </c>
      <c r="G32" s="75"/>
      <c r="H32" s="76">
        <f>H31*1.1</f>
        <v>4006.2</v>
      </c>
      <c r="I32" s="76">
        <f t="shared" ref="I32:O32" si="17">I31*1.1</f>
        <v>2966.7</v>
      </c>
      <c r="J32" s="91">
        <f t="shared" si="17"/>
        <v>1745.7</v>
      </c>
      <c r="K32" s="91">
        <f t="shared" si="17"/>
        <v>1757.8</v>
      </c>
      <c r="L32" s="91">
        <f t="shared" si="17"/>
        <v>1558.7</v>
      </c>
      <c r="M32" s="107">
        <f t="shared" si="17"/>
        <v>1479.5</v>
      </c>
      <c r="N32" s="91">
        <f t="shared" si="17"/>
        <v>1410.2</v>
      </c>
      <c r="O32" s="108">
        <f t="shared" si="17"/>
        <v>1355.2</v>
      </c>
    </row>
    <row r="33" s="4" customFormat="1" ht="16.5" customHeight="1" spans="1:15">
      <c r="A33" s="21"/>
      <c r="B33" s="23" t="s">
        <v>32</v>
      </c>
      <c r="C33" s="24">
        <f t="shared" si="15"/>
        <v>1.7325</v>
      </c>
      <c r="D33" s="20">
        <v>1.5</v>
      </c>
      <c r="E33" s="22">
        <v>1.05</v>
      </c>
      <c r="F33" s="22">
        <v>1.1</v>
      </c>
      <c r="G33" s="22"/>
      <c r="H33" s="76">
        <f t="shared" ref="H33:O34" si="18">H32*1.1</f>
        <v>4406.82</v>
      </c>
      <c r="I33" s="76">
        <f t="shared" si="18"/>
        <v>3263.37</v>
      </c>
      <c r="J33" s="91">
        <f t="shared" si="18"/>
        <v>1920.27</v>
      </c>
      <c r="K33" s="91">
        <f t="shared" si="18"/>
        <v>1933.58</v>
      </c>
      <c r="L33" s="91">
        <f t="shared" si="18"/>
        <v>1714.57</v>
      </c>
      <c r="M33" s="107">
        <f t="shared" si="18"/>
        <v>1627.45</v>
      </c>
      <c r="N33" s="91">
        <f t="shared" si="18"/>
        <v>1551.22</v>
      </c>
      <c r="O33" s="108">
        <f t="shared" si="18"/>
        <v>1490.72</v>
      </c>
    </row>
    <row r="34" s="4" customFormat="1" ht="16.5" customHeight="1" spans="1:15">
      <c r="A34" s="21"/>
      <c r="B34" s="45" t="s">
        <v>33</v>
      </c>
      <c r="C34" s="46">
        <f t="shared" si="15"/>
        <v>1.848</v>
      </c>
      <c r="D34" s="29">
        <v>1.6</v>
      </c>
      <c r="E34" s="77">
        <v>1.05</v>
      </c>
      <c r="F34" s="77">
        <v>1.1</v>
      </c>
      <c r="G34" s="77"/>
      <c r="H34" s="78">
        <f t="shared" si="18"/>
        <v>4847.502</v>
      </c>
      <c r="I34" s="92">
        <f t="shared" si="18"/>
        <v>3589.707</v>
      </c>
      <c r="J34" s="93">
        <f t="shared" si="18"/>
        <v>2112.297</v>
      </c>
      <c r="K34" s="93">
        <f t="shared" si="18"/>
        <v>2126.938</v>
      </c>
      <c r="L34" s="93">
        <f t="shared" si="18"/>
        <v>1886.027</v>
      </c>
      <c r="M34" s="89">
        <f t="shared" si="18"/>
        <v>1790.195</v>
      </c>
      <c r="N34" s="93">
        <f t="shared" si="18"/>
        <v>1706.342</v>
      </c>
      <c r="O34" s="106">
        <f t="shared" si="18"/>
        <v>1639.792</v>
      </c>
    </row>
    <row r="35" s="4" customFormat="1" ht="21" customHeight="1" spans="1:15">
      <c r="A35" s="21"/>
      <c r="B35" s="30" t="s">
        <v>34</v>
      </c>
      <c r="C35" s="31">
        <f t="shared" ref="C35:C38" si="19">D35*E35*F35</f>
        <v>1.2705</v>
      </c>
      <c r="D35" s="32">
        <v>1.1</v>
      </c>
      <c r="E35" s="31">
        <v>1.05</v>
      </c>
      <c r="F35" s="31">
        <v>1.1</v>
      </c>
      <c r="G35" s="31"/>
      <c r="H35" s="59">
        <v>2547</v>
      </c>
      <c r="I35" s="59">
        <v>1887</v>
      </c>
      <c r="J35" s="84">
        <v>1110</v>
      </c>
      <c r="K35" s="84">
        <v>1046</v>
      </c>
      <c r="L35" s="84">
        <v>987</v>
      </c>
      <c r="M35" s="84">
        <v>915</v>
      </c>
      <c r="N35" s="84">
        <v>871</v>
      </c>
      <c r="O35" s="102">
        <v>820</v>
      </c>
    </row>
    <row r="36" s="2" customFormat="1" ht="15.75" customHeight="1" spans="1:15">
      <c r="A36" s="21"/>
      <c r="B36" s="18" t="s">
        <v>35</v>
      </c>
      <c r="C36" s="19">
        <f t="shared" si="19"/>
        <v>6.51</v>
      </c>
      <c r="D36" s="20">
        <v>3.1</v>
      </c>
      <c r="E36" s="19">
        <v>1.05</v>
      </c>
      <c r="F36" s="51">
        <v>2</v>
      </c>
      <c r="G36" s="51"/>
      <c r="H36" s="52">
        <f>H37-(H37*0.02)</f>
        <v>14908.74</v>
      </c>
      <c r="I36" s="52">
        <f t="shared" ref="I36:O36" si="20">I37-(I37*0.02)</f>
        <v>11012.26</v>
      </c>
      <c r="J36" s="81">
        <f t="shared" si="20"/>
        <v>6477.8</v>
      </c>
      <c r="K36" s="81">
        <f t="shared" si="20"/>
        <v>6112.26</v>
      </c>
      <c r="L36" s="81">
        <f t="shared" si="20"/>
        <v>5822.18</v>
      </c>
      <c r="M36" s="81">
        <f t="shared" si="20"/>
        <v>5542.88</v>
      </c>
      <c r="N36" s="81">
        <f t="shared" si="20"/>
        <v>5299.84</v>
      </c>
      <c r="O36" s="99">
        <f t="shared" si="20"/>
        <v>5096</v>
      </c>
    </row>
    <row r="37" s="2" customFormat="1" ht="15" customHeight="1" spans="1:15">
      <c r="A37" s="21"/>
      <c r="B37" s="33" t="s">
        <v>35</v>
      </c>
      <c r="C37" s="34">
        <f t="shared" si="19"/>
        <v>7.812</v>
      </c>
      <c r="D37" s="35">
        <v>3.1</v>
      </c>
      <c r="E37" s="34">
        <v>1.05</v>
      </c>
      <c r="F37" s="60">
        <v>2.4</v>
      </c>
      <c r="G37" s="60"/>
      <c r="H37" s="61">
        <v>15213</v>
      </c>
      <c r="I37" s="61">
        <v>11237</v>
      </c>
      <c r="J37" s="61">
        <v>6610</v>
      </c>
      <c r="K37" s="61">
        <v>6237</v>
      </c>
      <c r="L37" s="61">
        <v>5941</v>
      </c>
      <c r="M37" s="61">
        <v>5656</v>
      </c>
      <c r="N37" s="61">
        <v>5408</v>
      </c>
      <c r="O37" s="61">
        <v>5200</v>
      </c>
    </row>
    <row r="38" s="2" customFormat="1" ht="15" customHeight="1" spans="1:15">
      <c r="A38" s="21"/>
      <c r="B38" s="18" t="s">
        <v>35</v>
      </c>
      <c r="C38" s="24">
        <f t="shared" si="19"/>
        <v>10.7415</v>
      </c>
      <c r="D38" s="25">
        <v>3.1</v>
      </c>
      <c r="E38" s="24">
        <v>1.05</v>
      </c>
      <c r="F38" s="54">
        <v>3.3</v>
      </c>
      <c r="G38" s="54"/>
      <c r="H38" s="52">
        <f>H37*1.26</f>
        <v>19168.38</v>
      </c>
      <c r="I38" s="52">
        <f t="shared" ref="I38:O38" si="21">I37*1.26</f>
        <v>14158.62</v>
      </c>
      <c r="J38" s="81">
        <f t="shared" si="21"/>
        <v>8328.6</v>
      </c>
      <c r="K38" s="81">
        <f t="shared" si="21"/>
        <v>7858.62</v>
      </c>
      <c r="L38" s="81">
        <f t="shared" si="21"/>
        <v>7485.66</v>
      </c>
      <c r="M38" s="81">
        <f t="shared" si="21"/>
        <v>7126.56</v>
      </c>
      <c r="N38" s="81">
        <f t="shared" si="21"/>
        <v>6814.08</v>
      </c>
      <c r="O38" s="99">
        <f t="shared" si="21"/>
        <v>6552</v>
      </c>
    </row>
    <row r="39" s="2" customFormat="1" ht="18" customHeight="1" spans="1:15">
      <c r="A39" s="47"/>
      <c r="B39" s="36"/>
      <c r="C39" s="37"/>
      <c r="D39" s="38"/>
      <c r="E39" s="62"/>
      <c r="F39" s="63"/>
      <c r="G39" s="63"/>
      <c r="H39" s="79"/>
      <c r="I39" s="79"/>
      <c r="J39" s="79"/>
      <c r="K39" s="79"/>
      <c r="L39" s="79"/>
      <c r="M39" s="79"/>
      <c r="N39" s="79"/>
      <c r="O39" s="79"/>
    </row>
    <row r="40" s="2" customFormat="1" ht="39.95" customHeight="1" spans="1:241">
      <c r="A40"/>
      <c r="B40" s="5"/>
      <c r="C40" s="5"/>
      <c r="D40" s="6"/>
      <c r="E40" s="7"/>
      <c r="F40" s="7"/>
      <c r="G40" s="7"/>
      <c r="H40" s="7"/>
      <c r="I40" s="7"/>
      <c r="J40"/>
      <c r="K40"/>
      <c r="L40"/>
      <c r="M40"/>
      <c r="N40"/>
      <c r="O40" s="8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</row>
    <row r="41" s="2" customFormat="1" ht="39.95" customHeight="1" spans="1:241">
      <c r="A41"/>
      <c r="B41" s="5"/>
      <c r="C41" s="5"/>
      <c r="D41" s="6"/>
      <c r="E41" s="7"/>
      <c r="F41" s="7"/>
      <c r="G41" s="7"/>
      <c r="H41" s="7"/>
      <c r="I41" s="7"/>
      <c r="J41"/>
      <c r="K41"/>
      <c r="L41"/>
      <c r="M41"/>
      <c r="N41"/>
      <c r="O41" s="8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</row>
    <row r="42" s="2" customFormat="1" ht="39.95" customHeight="1" spans="1:241">
      <c r="A42"/>
      <c r="B42" s="5"/>
      <c r="C42" s="5"/>
      <c r="D42" s="6"/>
      <c r="E42" s="7"/>
      <c r="F42" s="7"/>
      <c r="G42" s="7"/>
      <c r="H42" s="7"/>
      <c r="I42" s="7"/>
      <c r="J42"/>
      <c r="K42"/>
      <c r="L42"/>
      <c r="M42"/>
      <c r="N42"/>
      <c r="O42" s="8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</row>
    <row r="43" s="2" customFormat="1" ht="39.95" customHeight="1" spans="1:314">
      <c r="A43"/>
      <c r="B43"/>
      <c r="C43"/>
      <c r="D43" s="48"/>
      <c r="E43"/>
      <c r="F43"/>
      <c r="G43"/>
      <c r="H43"/>
      <c r="I43"/>
      <c r="J43"/>
      <c r="K43"/>
      <c r="L43"/>
      <c r="M43"/>
      <c r="N43"/>
      <c r="O43" s="8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</row>
    <row r="44" s="2" customFormat="1" ht="39.95" customHeight="1" spans="1:314">
      <c r="A44"/>
      <c r="B44"/>
      <c r="C44"/>
      <c r="D44" s="48"/>
      <c r="E44"/>
      <c r="F44"/>
      <c r="G44"/>
      <c r="H44"/>
      <c r="I44"/>
      <c r="J44"/>
      <c r="K44"/>
      <c r="L44"/>
      <c r="M44"/>
      <c r="N44"/>
      <c r="O44" s="8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</row>
    <row r="45" s="2" customFormat="1" ht="39.95" customHeight="1" spans="1:314">
      <c r="A45"/>
      <c r="B45"/>
      <c r="C45"/>
      <c r="D45" s="48"/>
      <c r="E45"/>
      <c r="F45"/>
      <c r="G45"/>
      <c r="H45"/>
      <c r="I45"/>
      <c r="J45"/>
      <c r="K45"/>
      <c r="L45"/>
      <c r="M45"/>
      <c r="N45"/>
      <c r="O45" s="8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</row>
    <row r="46" s="2" customFormat="1" ht="39.95" customHeight="1" spans="1:314">
      <c r="A46"/>
      <c r="B46"/>
      <c r="C46"/>
      <c r="D46" s="48"/>
      <c r="E46"/>
      <c r="F46"/>
      <c r="G46"/>
      <c r="H46"/>
      <c r="I46"/>
      <c r="J46"/>
      <c r="K46"/>
      <c r="L46"/>
      <c r="M46"/>
      <c r="N46"/>
      <c r="O46" s="8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</row>
    <row r="47" s="2" customFormat="1" ht="39.95" customHeight="1" spans="1:314">
      <c r="A47"/>
      <c r="B47"/>
      <c r="C47"/>
      <c r="D47" s="48"/>
      <c r="E47"/>
      <c r="F47"/>
      <c r="G47"/>
      <c r="H47"/>
      <c r="I47"/>
      <c r="J47"/>
      <c r="K47"/>
      <c r="L47"/>
      <c r="M47"/>
      <c r="N47"/>
      <c r="O47" s="8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</row>
    <row r="48" s="2" customFormat="1" ht="39.95" customHeight="1" spans="1:314">
      <c r="A48"/>
      <c r="B48"/>
      <c r="C48"/>
      <c r="D48" s="48"/>
      <c r="E48"/>
      <c r="F48"/>
      <c r="G48"/>
      <c r="H48"/>
      <c r="I48"/>
      <c r="J48"/>
      <c r="K48"/>
      <c r="L48"/>
      <c r="M48"/>
      <c r="N48"/>
      <c r="O48" s="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</row>
    <row r="49" s="2" customFormat="1" ht="39.95" customHeight="1" spans="1:314">
      <c r="A49"/>
      <c r="B49"/>
      <c r="C49"/>
      <c r="D49" s="48"/>
      <c r="E49"/>
      <c r="F49"/>
      <c r="G49"/>
      <c r="H49"/>
      <c r="I49"/>
      <c r="J49"/>
      <c r="K49"/>
      <c r="L49"/>
      <c r="M49"/>
      <c r="N49"/>
      <c r="O49" s="8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</row>
    <row r="50" s="2" customFormat="1" ht="39.95" customHeight="1" spans="1:314">
      <c r="A50"/>
      <c r="B50"/>
      <c r="C50"/>
      <c r="D50" s="48"/>
      <c r="E50"/>
      <c r="F50"/>
      <c r="G50"/>
      <c r="H50"/>
      <c r="I50"/>
      <c r="J50"/>
      <c r="K50"/>
      <c r="L50"/>
      <c r="M50"/>
      <c r="N50"/>
      <c r="O50" s="8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</row>
    <row r="51" s="2" customFormat="1" ht="39.95" customHeight="1" spans="1:314">
      <c r="A51"/>
      <c r="B51"/>
      <c r="C51"/>
      <c r="D51" s="48"/>
      <c r="E51"/>
      <c r="F51"/>
      <c r="G51"/>
      <c r="H51"/>
      <c r="I51"/>
      <c r="J51"/>
      <c r="K51"/>
      <c r="L51"/>
      <c r="M51"/>
      <c r="N51"/>
      <c r="O51" s="8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</row>
    <row r="52" s="2" customFormat="1" ht="39.95" customHeight="1" spans="1:314">
      <c r="A52"/>
      <c r="B52"/>
      <c r="C52"/>
      <c r="D52" s="48"/>
      <c r="E52"/>
      <c r="F52"/>
      <c r="G52"/>
      <c r="H52"/>
      <c r="I52"/>
      <c r="J52"/>
      <c r="K52"/>
      <c r="L52"/>
      <c r="M52"/>
      <c r="N52"/>
      <c r="O52" s="8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</row>
    <row r="53" s="2" customFormat="1" ht="39.95" customHeight="1" spans="1:314">
      <c r="A53"/>
      <c r="B53"/>
      <c r="C53"/>
      <c r="D53" s="48"/>
      <c r="E53"/>
      <c r="F53"/>
      <c r="G53"/>
      <c r="H53"/>
      <c r="I53"/>
      <c r="J53"/>
      <c r="K53"/>
      <c r="L53"/>
      <c r="M53"/>
      <c r="N53"/>
      <c r="O53" s="8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</row>
    <row r="54" s="2" customFormat="1" ht="45" customHeight="1" spans="1:314">
      <c r="A54"/>
      <c r="B54" s="5"/>
      <c r="C54" s="5"/>
      <c r="D54" s="6"/>
      <c r="E54" s="7"/>
      <c r="F54" s="7"/>
      <c r="G54" s="7"/>
      <c r="H54" s="7"/>
      <c r="I54" s="7"/>
      <c r="J54"/>
      <c r="K54"/>
      <c r="L54"/>
      <c r="M54"/>
      <c r="N54"/>
      <c r="O54" s="8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</row>
    <row r="55" s="2" customFormat="1" ht="45" customHeight="1" spans="1:314">
      <c r="A55"/>
      <c r="B55" s="5"/>
      <c r="C55" s="5"/>
      <c r="D55" s="6"/>
      <c r="E55" s="7"/>
      <c r="F55" s="7"/>
      <c r="G55" s="7"/>
      <c r="H55" s="7"/>
      <c r="I55" s="7"/>
      <c r="J55"/>
      <c r="K55"/>
      <c r="L55"/>
      <c r="M55"/>
      <c r="N55"/>
      <c r="O55" s="8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</row>
    <row r="56" s="2" customFormat="1" ht="45" customHeight="1" spans="1:314">
      <c r="A56"/>
      <c r="B56" s="5"/>
      <c r="C56" s="5"/>
      <c r="D56" s="6"/>
      <c r="E56" s="7"/>
      <c r="F56" s="7"/>
      <c r="G56" s="7"/>
      <c r="H56" s="7"/>
      <c r="I56" s="7"/>
      <c r="J56"/>
      <c r="K56"/>
      <c r="L56"/>
      <c r="M56"/>
      <c r="N56"/>
      <c r="O56" s="8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</row>
    <row r="57" s="2" customFormat="1" ht="45" customHeight="1" spans="1:314">
      <c r="A57"/>
      <c r="B57" s="5"/>
      <c r="C57" s="5"/>
      <c r="D57" s="6"/>
      <c r="E57" s="7"/>
      <c r="F57" s="7"/>
      <c r="G57" s="7"/>
      <c r="H57" s="7"/>
      <c r="I57" s="7"/>
      <c r="J57"/>
      <c r="K57"/>
      <c r="L57"/>
      <c r="M57"/>
      <c r="N57"/>
      <c r="O57" s="8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</row>
    <row r="58" s="2" customFormat="1" ht="45" customHeight="1" spans="1:314">
      <c r="A58"/>
      <c r="B58" s="5"/>
      <c r="C58" s="5"/>
      <c r="D58" s="6"/>
      <c r="E58" s="7"/>
      <c r="F58" s="7"/>
      <c r="G58" s="7"/>
      <c r="H58" s="7"/>
      <c r="I58" s="7"/>
      <c r="J58"/>
      <c r="K58"/>
      <c r="L58"/>
      <c r="M58"/>
      <c r="N58"/>
      <c r="O58" s="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</row>
    <row r="59" s="2" customFormat="1" ht="45" customHeight="1" spans="1:314">
      <c r="A59"/>
      <c r="B59" s="5"/>
      <c r="C59" s="5"/>
      <c r="D59" s="6"/>
      <c r="E59" s="7"/>
      <c r="F59" s="7"/>
      <c r="G59" s="7"/>
      <c r="H59" s="7"/>
      <c r="I59" s="7"/>
      <c r="J59"/>
      <c r="K59"/>
      <c r="L59"/>
      <c r="M59"/>
      <c r="N59"/>
      <c r="O59" s="8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</row>
    <row r="60" s="2" customFormat="1" ht="45" customHeight="1" spans="1:314">
      <c r="A60"/>
      <c r="B60" s="5"/>
      <c r="C60" s="5"/>
      <c r="D60" s="6"/>
      <c r="E60" s="7"/>
      <c r="F60" s="7"/>
      <c r="G60" s="7"/>
      <c r="H60" s="7"/>
      <c r="I60" s="7"/>
      <c r="J60"/>
      <c r="K60"/>
      <c r="L60"/>
      <c r="M60"/>
      <c r="N60"/>
      <c r="O60" s="8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</row>
    <row r="61" s="2" customFormat="1" ht="45" customHeight="1" spans="1:314">
      <c r="A61"/>
      <c r="B61" s="5"/>
      <c r="C61" s="5"/>
      <c r="D61" s="6"/>
      <c r="E61" s="7"/>
      <c r="F61" s="7"/>
      <c r="G61" s="7"/>
      <c r="H61" s="7"/>
      <c r="I61" s="7"/>
      <c r="J61"/>
      <c r="K61"/>
      <c r="L61"/>
      <c r="M61"/>
      <c r="N61"/>
      <c r="O61" s="8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</row>
    <row r="62" s="2" customFormat="1" ht="45" customHeight="1" spans="1:314">
      <c r="A62"/>
      <c r="B62" s="5"/>
      <c r="C62" s="5"/>
      <c r="D62" s="6"/>
      <c r="E62" s="7"/>
      <c r="F62" s="7"/>
      <c r="G62" s="7"/>
      <c r="H62" s="7"/>
      <c r="I62" s="7"/>
      <c r="J62"/>
      <c r="K62"/>
      <c r="L62"/>
      <c r="M62"/>
      <c r="N62"/>
      <c r="O62" s="8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</row>
    <row r="63" s="2" customFormat="1" ht="45" customHeight="1" spans="1:314">
      <c r="A63"/>
      <c r="B63" s="5"/>
      <c r="C63" s="5"/>
      <c r="D63" s="6"/>
      <c r="E63" s="7"/>
      <c r="F63" s="7"/>
      <c r="G63" s="7"/>
      <c r="H63" s="7"/>
      <c r="I63" s="7"/>
      <c r="J63"/>
      <c r="K63"/>
      <c r="L63"/>
      <c r="M63"/>
      <c r="N63"/>
      <c r="O63" s="8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</row>
    <row r="64" ht="5.25" customHeight="1"/>
    <row r="65" ht="36.95" customHeight="1"/>
    <row r="66" ht="36.95" customHeight="1"/>
    <row r="67" ht="36.95" customHeight="1"/>
    <row r="68" ht="36.95" customHeight="1"/>
    <row r="69" ht="36.95" customHeight="1"/>
    <row r="70" ht="36.95" customHeight="1"/>
    <row r="71" ht="36.95" customHeight="1"/>
    <row r="72" ht="36.95" customHeight="1"/>
    <row r="73" ht="36.95" customHeight="1"/>
    <row r="74" ht="36.95" customHeight="1"/>
    <row r="75" ht="36.95" customHeight="1"/>
    <row r="76" ht="36.95" customHeight="1"/>
    <row r="77" ht="36.95" customHeight="1"/>
    <row r="78" ht="36.95" customHeight="1"/>
  </sheetData>
  <sheetProtection selectLockedCells="1" selectUnlockedCells="1"/>
  <mergeCells count="3">
    <mergeCell ref="A5:A15"/>
    <mergeCell ref="A20:A32"/>
    <mergeCell ref="M2:O3"/>
  </mergeCells>
  <printOptions horizontalCentered="1" verticalCentered="1"/>
  <pageMargins left="0" right="0" top="0" bottom="0" header="0.118110236220472" footer="0.118110236220472"/>
  <pageSetup paperSize="9" scale="76" fitToHeight="0" orientation="landscape"/>
  <headerFooter alignWithMargins="0">
    <oddHeader>&amp;CPágina &amp;P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Repres. Fiorin</dc:creator>
  <cp:lastModifiedBy>simao</cp:lastModifiedBy>
  <dcterms:created xsi:type="dcterms:W3CDTF">2004-03-08T15:00:00Z</dcterms:created>
  <cp:lastPrinted>2026-03-25T14:53:00Z</cp:lastPrinted>
  <dcterms:modified xsi:type="dcterms:W3CDTF">2026-04-06T21:52:45Z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